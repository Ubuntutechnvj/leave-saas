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buntutechsa-my.sharepoint.com/personal/natashavj_ubuntusa_co_za/Documents/Stephen/Wednesday Report/leave-saas/backend/"/>
    </mc:Choice>
  </mc:AlternateContent>
  <xr:revisionPtr revIDLastSave="178" documentId="8_{D3DFFD23-7EFE-4F7B-BB20-FD7F28EE94BD}" xr6:coauthVersionLast="47" xr6:coauthVersionMax="47" xr10:uidLastSave="{50741C2D-F844-4604-9574-D1FDFC974CF5}"/>
  <bookViews>
    <workbookView xWindow="28680" yWindow="4260" windowWidth="29040" windowHeight="15720" xr2:uid="{09D3837C-C52F-4071-8D5E-86665D86A2B1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Sheet1!$A$1:$L$127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9" i="1" l="1"/>
  <c r="F71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100" i="1"/>
  <c r="D2" i="1"/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100" i="1"/>
  <c r="F105" i="1"/>
  <c r="F107" i="1"/>
  <c r="F110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2" i="1"/>
</calcChain>
</file>

<file path=xl/sharedStrings.xml><?xml version="1.0" encoding="utf-8"?>
<sst xmlns="http://schemas.openxmlformats.org/spreadsheetml/2006/main" count="138" uniqueCount="138">
  <si>
    <t>employee_code</t>
  </si>
  <si>
    <t>annual_remaining</t>
  </si>
  <si>
    <t>sick_remaining</t>
  </si>
  <si>
    <t>family_remaining</t>
  </si>
  <si>
    <t>siek_start_cycle</t>
  </si>
  <si>
    <t>siek_end_cycle</t>
  </si>
  <si>
    <t>UB008</t>
  </si>
  <si>
    <t>UB089</t>
  </si>
  <si>
    <t>UB352</t>
  </si>
  <si>
    <t>UB129</t>
  </si>
  <si>
    <t>UB138</t>
  </si>
  <si>
    <t>UB141</t>
  </si>
  <si>
    <t>UB166</t>
  </si>
  <si>
    <t>UB207</t>
  </si>
  <si>
    <t>UB262</t>
  </si>
  <si>
    <t>UB263</t>
  </si>
  <si>
    <t>UB267</t>
  </si>
  <si>
    <t>UB271</t>
  </si>
  <si>
    <t>UB287</t>
  </si>
  <si>
    <t>UB296</t>
  </si>
  <si>
    <t>UB303</t>
  </si>
  <si>
    <t>UB327</t>
  </si>
  <si>
    <t>UB329</t>
  </si>
  <si>
    <t>UB340</t>
  </si>
  <si>
    <t>UB365</t>
  </si>
  <si>
    <t>UB367</t>
  </si>
  <si>
    <t>UB368</t>
  </si>
  <si>
    <t>UB373</t>
  </si>
  <si>
    <t>UB379</t>
  </si>
  <si>
    <t>UB380</t>
  </si>
  <si>
    <t>UB393</t>
  </si>
  <si>
    <t>UB397</t>
  </si>
  <si>
    <t>UB403</t>
  </si>
  <si>
    <t>UB406</t>
  </si>
  <si>
    <t>UB410</t>
  </si>
  <si>
    <t>UB412</t>
  </si>
  <si>
    <t>UB413</t>
  </si>
  <si>
    <t>UB415</t>
  </si>
  <si>
    <t>UB416</t>
  </si>
  <si>
    <t>UB418</t>
  </si>
  <si>
    <t>UB424</t>
  </si>
  <si>
    <t>UB426</t>
  </si>
  <si>
    <t>UB427</t>
  </si>
  <si>
    <t>UB428</t>
  </si>
  <si>
    <t>UB430</t>
  </si>
  <si>
    <t>UB431</t>
  </si>
  <si>
    <t>UB437</t>
  </si>
  <si>
    <t>UB438</t>
  </si>
  <si>
    <t>UB440</t>
  </si>
  <si>
    <t>UB443</t>
  </si>
  <si>
    <t>UB444</t>
  </si>
  <si>
    <t>UB445</t>
  </si>
  <si>
    <t>UB446</t>
  </si>
  <si>
    <t>UB448</t>
  </si>
  <si>
    <t>UB458</t>
  </si>
  <si>
    <t>UB459</t>
  </si>
  <si>
    <t>UB460</t>
  </si>
  <si>
    <t>UB501</t>
  </si>
  <si>
    <t>UB502</t>
  </si>
  <si>
    <t>UB504</t>
  </si>
  <si>
    <t>UB506</t>
  </si>
  <si>
    <t>UB507</t>
  </si>
  <si>
    <t>UB508</t>
  </si>
  <si>
    <t>UB509</t>
  </si>
  <si>
    <t>UB510</t>
  </si>
  <si>
    <t>UB511</t>
  </si>
  <si>
    <t>UB512</t>
  </si>
  <si>
    <t>UB513</t>
  </si>
  <si>
    <t>UB514</t>
  </si>
  <si>
    <t>UB515</t>
  </si>
  <si>
    <t>UB516</t>
  </si>
  <si>
    <t>UB517</t>
  </si>
  <si>
    <t>UB518</t>
  </si>
  <si>
    <t>UB519</t>
  </si>
  <si>
    <t>UB520</t>
  </si>
  <si>
    <t>UBN150</t>
  </si>
  <si>
    <t>UEC020</t>
  </si>
  <si>
    <t>UBN093</t>
  </si>
  <si>
    <t>UBN098</t>
  </si>
  <si>
    <t>UBN127</t>
  </si>
  <si>
    <t>UBN145</t>
  </si>
  <si>
    <t>UBN164</t>
  </si>
  <si>
    <t>UBN168</t>
  </si>
  <si>
    <t>UBN171</t>
  </si>
  <si>
    <t>UBN176</t>
  </si>
  <si>
    <t>UBN179</t>
  </si>
  <si>
    <t>UBN182</t>
  </si>
  <si>
    <t>UBN187</t>
  </si>
  <si>
    <t>UBN190</t>
  </si>
  <si>
    <t>UBN191</t>
  </si>
  <si>
    <t>UBN193</t>
  </si>
  <si>
    <t>UBN196</t>
  </si>
  <si>
    <t>UBN197</t>
  </si>
  <si>
    <t>UBN198</t>
  </si>
  <si>
    <t>UBN199</t>
  </si>
  <si>
    <t>UBN200</t>
  </si>
  <si>
    <t>UBN201</t>
  </si>
  <si>
    <t>UBN202</t>
  </si>
  <si>
    <t>UBN203</t>
  </si>
  <si>
    <t>UBN204</t>
  </si>
  <si>
    <t>UBN205</t>
  </si>
  <si>
    <t>UEC021</t>
  </si>
  <si>
    <t>FUT003</t>
  </si>
  <si>
    <t>FUT015</t>
  </si>
  <si>
    <t>FUT019</t>
  </si>
  <si>
    <t>FUT021</t>
  </si>
  <si>
    <t>FUT024</t>
  </si>
  <si>
    <t>FUT027</t>
  </si>
  <si>
    <t>FUT031</t>
  </si>
  <si>
    <t>FUT035</t>
  </si>
  <si>
    <t>FUT038</t>
  </si>
  <si>
    <t>FUT040</t>
  </si>
  <si>
    <t>FUT041</t>
  </si>
  <si>
    <t>FUT042</t>
  </si>
  <si>
    <t>FUT043</t>
  </si>
  <si>
    <t>UBM001</t>
  </si>
  <si>
    <t>UBM002</t>
  </si>
  <si>
    <t>UBM004</t>
  </si>
  <si>
    <t>FCA001</t>
  </si>
  <si>
    <t>FCA002</t>
  </si>
  <si>
    <t>FCA003</t>
  </si>
  <si>
    <t>FCA004</t>
  </si>
  <si>
    <t>FCA006</t>
  </si>
  <si>
    <t>FCA008</t>
  </si>
  <si>
    <t>FCA009</t>
  </si>
  <si>
    <t>FCA010</t>
  </si>
  <si>
    <t>FCA011</t>
  </si>
  <si>
    <t>UB449</t>
  </si>
  <si>
    <t>UBN184</t>
  </si>
  <si>
    <t>UBN206</t>
  </si>
  <si>
    <t>annual_allocated</t>
  </si>
  <si>
    <t>annual_used</t>
  </si>
  <si>
    <t>sick_allocated</t>
  </si>
  <si>
    <t>sick_used</t>
  </si>
  <si>
    <t>family_allocated</t>
  </si>
  <si>
    <t>family_used</t>
  </si>
  <si>
    <t>UB521</t>
  </si>
  <si>
    <t>UBN207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</si>
</sst>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yyyy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horizontal="center"/>
    </xf>
    <xf numFmtId="164" fontId="1" fillId="0" borderId="0" xfId="0" quotePrefix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atashavanJaarsveld\AppData\Local\Microsoft\Windows\INetCache\Content.Outlook\7MTXZRF0\Leave%20Balance%20Report%20-%20end%20Apr'26.xlsx" TargetMode="External"/><Relationship Id="rId1" Type="http://schemas.openxmlformats.org/officeDocument/2006/relationships/externalLinkPath" Target="file:///C:\Users\NatashavanJaarsveld\AppData\Local\Microsoft\Windows\INetCache\Content.Outlook\7MTXZRF0\Leave%20Balance%20Report%20-%20end%20Apr'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nnual Leave"/>
      <sheetName val="Sick Leave"/>
      <sheetName val="Family Leave"/>
    </sheetNames>
    <sheetDataSet>
      <sheetData sheetId="0">
        <row r="2">
          <cell r="B2" t="str">
            <v>Code</v>
          </cell>
          <cell r="C2" t="str">
            <v>Name</v>
          </cell>
          <cell r="D2" t="str">
            <v>Surname</v>
          </cell>
          <cell r="E2" t="str">
            <v>Start Date</v>
          </cell>
          <cell r="F2" t="str">
            <v>End of Apr'26 Leave Balance</v>
          </cell>
        </row>
        <row r="3">
          <cell r="B3" t="str">
            <v>UB008</v>
          </cell>
          <cell r="C3" t="str">
            <v>MARK</v>
          </cell>
          <cell r="D3" t="str">
            <v>DRACATOS</v>
          </cell>
          <cell r="E3" t="str">
            <v>01/05/2003</v>
          </cell>
          <cell r="F3">
            <v>13.666666666666661</v>
          </cell>
        </row>
        <row r="4">
          <cell r="B4" t="str">
            <v>UB089</v>
          </cell>
          <cell r="C4" t="str">
            <v>MARGUERITE</v>
          </cell>
          <cell r="D4" t="str">
            <v>BULL</v>
          </cell>
          <cell r="E4" t="str">
            <v>01/03/2008</v>
          </cell>
          <cell r="F4">
            <v>5.6666666666666758</v>
          </cell>
        </row>
        <row r="5">
          <cell r="B5" t="str">
            <v>UB352</v>
          </cell>
          <cell r="C5" t="str">
            <v>DORA</v>
          </cell>
          <cell r="D5" t="str">
            <v>MOKGWAHLE</v>
          </cell>
          <cell r="E5" t="str">
            <v>17/09/2018</v>
          </cell>
          <cell r="F5">
            <v>-53.5</v>
          </cell>
        </row>
        <row r="6">
          <cell r="B6" t="str">
            <v>UB129</v>
          </cell>
          <cell r="C6" t="str">
            <v>DIRK</v>
          </cell>
          <cell r="D6" t="str">
            <v>NORVAL</v>
          </cell>
          <cell r="E6" t="str">
            <v>01/05/2010</v>
          </cell>
          <cell r="F6">
            <v>-0.83333333333333104</v>
          </cell>
        </row>
        <row r="7">
          <cell r="B7" t="str">
            <v>UB138</v>
          </cell>
          <cell r="C7" t="str">
            <v>COREEN</v>
          </cell>
          <cell r="D7" t="str">
            <v>VENSKE</v>
          </cell>
          <cell r="E7" t="str">
            <v>01/04/2011</v>
          </cell>
          <cell r="F7">
            <v>9.6666666666666625</v>
          </cell>
        </row>
        <row r="8">
          <cell r="B8" t="str">
            <v>UB141</v>
          </cell>
          <cell r="C8" t="str">
            <v>SONJA</v>
          </cell>
          <cell r="D8" t="str">
            <v>VISSER</v>
          </cell>
          <cell r="E8" t="str">
            <v>14/06/2011</v>
          </cell>
          <cell r="F8">
            <v>5.6663333333333252</v>
          </cell>
        </row>
        <row r="9">
          <cell r="B9" t="str">
            <v>UB166</v>
          </cell>
          <cell r="C9" t="str">
            <v>VICKY</v>
          </cell>
          <cell r="D9" t="str">
            <v>ROOS</v>
          </cell>
          <cell r="E9" t="str">
            <v>15/02/2013</v>
          </cell>
          <cell r="F9">
            <v>8.0003333333333124</v>
          </cell>
        </row>
        <row r="10">
          <cell r="B10" t="str">
            <v>UB207</v>
          </cell>
          <cell r="C10" t="str">
            <v>THANDI</v>
          </cell>
          <cell r="D10" t="str">
            <v>FOKO</v>
          </cell>
          <cell r="E10" t="str">
            <v>20/04/2015</v>
          </cell>
          <cell r="F10">
            <v>3.1666666666666767</v>
          </cell>
        </row>
        <row r="11">
          <cell r="B11" t="str">
            <v>UB262</v>
          </cell>
          <cell r="C11" t="str">
            <v>MARNIE</v>
          </cell>
          <cell r="D11" t="str">
            <v>BUYS</v>
          </cell>
          <cell r="E11" t="str">
            <v>12/02/2007</v>
          </cell>
          <cell r="F11">
            <v>1.0413333333333321</v>
          </cell>
        </row>
        <row r="12">
          <cell r="B12" t="str">
            <v>UB263</v>
          </cell>
          <cell r="C12" t="str">
            <v>ELAINE</v>
          </cell>
          <cell r="D12" t="str">
            <v>KRUGER</v>
          </cell>
          <cell r="E12" t="str">
            <v>30/07/2007</v>
          </cell>
          <cell r="F12">
            <v>-3.0833333333333259</v>
          </cell>
        </row>
        <row r="13">
          <cell r="B13" t="str">
            <v>UB267</v>
          </cell>
          <cell r="C13" t="str">
            <v>PRECIOUS</v>
          </cell>
          <cell r="D13" t="str">
            <v>CHAYAMBUKA</v>
          </cell>
          <cell r="E13" t="str">
            <v>01/12/2011</v>
          </cell>
          <cell r="F13">
            <v>16.666666666666657</v>
          </cell>
        </row>
        <row r="14">
          <cell r="B14" t="str">
            <v>UB271</v>
          </cell>
          <cell r="C14" t="str">
            <v>SUMARIE</v>
          </cell>
          <cell r="D14" t="str">
            <v>VERMAAK</v>
          </cell>
          <cell r="E14" t="str">
            <v>01/05/2014</v>
          </cell>
          <cell r="F14">
            <v>1.8333333333333341</v>
          </cell>
        </row>
        <row r="15">
          <cell r="B15" t="str">
            <v>UB287</v>
          </cell>
          <cell r="C15" t="str">
            <v>SALOSHNIE</v>
          </cell>
          <cell r="D15" t="str">
            <v>MOODLEY</v>
          </cell>
          <cell r="E15" t="str">
            <v>10/11/2016</v>
          </cell>
          <cell r="F15">
            <v>15.333299999999992</v>
          </cell>
        </row>
        <row r="16">
          <cell r="B16" t="str">
            <v>UB296</v>
          </cell>
          <cell r="C16" t="str">
            <v>GIRLY</v>
          </cell>
          <cell r="D16" t="str">
            <v>NKADIMENG</v>
          </cell>
          <cell r="E16" t="str">
            <v>01/03/2017</v>
          </cell>
          <cell r="F16">
            <v>7.3329999999999655</v>
          </cell>
        </row>
        <row r="17">
          <cell r="B17" t="str">
            <v>UB303</v>
          </cell>
          <cell r="C17" t="str">
            <v>LIONEL</v>
          </cell>
          <cell r="D17" t="str">
            <v>MARAIS</v>
          </cell>
          <cell r="E17" t="str">
            <v>07/08/2017</v>
          </cell>
          <cell r="F17">
            <v>7.1663333333333483</v>
          </cell>
        </row>
        <row r="18">
          <cell r="B18" t="str">
            <v>UB327</v>
          </cell>
          <cell r="C18" t="str">
            <v>STEPHEN</v>
          </cell>
          <cell r="D18" t="str">
            <v>WHITE</v>
          </cell>
          <cell r="E18" t="str">
            <v>29/01/2018</v>
          </cell>
          <cell r="F18">
            <v>4.666999999999998</v>
          </cell>
        </row>
        <row r="19">
          <cell r="B19" t="str">
            <v>UB329</v>
          </cell>
          <cell r="C19" t="str">
            <v>COLETTE</v>
          </cell>
          <cell r="D19" t="str">
            <v>JOSIAS</v>
          </cell>
          <cell r="E19" t="str">
            <v>26/02/2018</v>
          </cell>
          <cell r="F19">
            <v>6.1666666666666687</v>
          </cell>
        </row>
        <row r="20">
          <cell r="B20" t="str">
            <v>UB340</v>
          </cell>
          <cell r="C20" t="str">
            <v>ALICIA</v>
          </cell>
          <cell r="D20" t="str">
            <v>VILJOEN</v>
          </cell>
          <cell r="E20" t="str">
            <v>10/04/2018</v>
          </cell>
          <cell r="F20">
            <v>-1.0833333333333226</v>
          </cell>
        </row>
        <row r="21">
          <cell r="B21" t="str">
            <v>UB365</v>
          </cell>
          <cell r="C21" t="str">
            <v>ELDAS</v>
          </cell>
          <cell r="D21" t="str">
            <v>SKHOSANA</v>
          </cell>
          <cell r="E21" t="str">
            <v>03/06/2019</v>
          </cell>
          <cell r="F21">
            <v>7.2496666666666671</v>
          </cell>
        </row>
        <row r="22">
          <cell r="B22" t="str">
            <v>UB367</v>
          </cell>
          <cell r="C22" t="str">
            <v>JOSEPH</v>
          </cell>
          <cell r="D22" t="str">
            <v>MOHLALA</v>
          </cell>
          <cell r="E22" t="str">
            <v>12/09/2005</v>
          </cell>
          <cell r="F22">
            <v>4.6669999999999856</v>
          </cell>
        </row>
        <row r="23">
          <cell r="B23" t="str">
            <v>UB368</v>
          </cell>
          <cell r="C23" t="str">
            <v>JAMES</v>
          </cell>
          <cell r="D23" t="str">
            <v>SEAKGOSING</v>
          </cell>
          <cell r="E23" t="str">
            <v>01/09/2019</v>
          </cell>
          <cell r="F23">
            <v>15.666999999999996</v>
          </cell>
        </row>
        <row r="24">
          <cell r="B24" t="str">
            <v>UB373</v>
          </cell>
          <cell r="C24" t="str">
            <v>HENRI</v>
          </cell>
          <cell r="D24" t="str">
            <v>JACOBS</v>
          </cell>
          <cell r="E24" t="str">
            <v>01/10/2019</v>
          </cell>
          <cell r="F24">
            <v>4.666666666666667</v>
          </cell>
        </row>
        <row r="25">
          <cell r="B25" t="str">
            <v>UB379</v>
          </cell>
          <cell r="C25" t="str">
            <v>MARITSA</v>
          </cell>
          <cell r="D25" t="str">
            <v>LINEVELDT</v>
          </cell>
          <cell r="E25" t="str">
            <v>20/07/2020</v>
          </cell>
          <cell r="F25">
            <v>0.66666666666666652</v>
          </cell>
        </row>
        <row r="26">
          <cell r="B26" t="str">
            <v>UB380</v>
          </cell>
          <cell r="C26" t="str">
            <v>JANE</v>
          </cell>
          <cell r="D26" t="str">
            <v>NTOBELA</v>
          </cell>
          <cell r="E26" t="str">
            <v>01/08/2020</v>
          </cell>
          <cell r="F26">
            <v>41.5</v>
          </cell>
        </row>
        <row r="27">
          <cell r="B27" t="str">
            <v>UB393</v>
          </cell>
          <cell r="C27" t="str">
            <v>TUMI</v>
          </cell>
          <cell r="D27" t="str">
            <v>MOLEOFANE</v>
          </cell>
          <cell r="E27" t="str">
            <v>06/10/2021</v>
          </cell>
          <cell r="F27">
            <v>15.58333333333333</v>
          </cell>
        </row>
        <row r="28">
          <cell r="B28" t="str">
            <v>UB397</v>
          </cell>
          <cell r="C28" t="str">
            <v>RENE</v>
          </cell>
          <cell r="D28" t="str">
            <v>PRETORIUS</v>
          </cell>
          <cell r="E28" t="str">
            <v>01/02/2022</v>
          </cell>
          <cell r="F28">
            <v>7.2499999999999973</v>
          </cell>
        </row>
        <row r="29">
          <cell r="B29" t="str">
            <v>UB403</v>
          </cell>
          <cell r="C29" t="str">
            <v>HEICO</v>
          </cell>
          <cell r="D29" t="str">
            <v>STROH</v>
          </cell>
          <cell r="E29" t="str">
            <v>01/04/2022</v>
          </cell>
          <cell r="F29">
            <v>15.083333333333334</v>
          </cell>
        </row>
        <row r="30">
          <cell r="B30" t="str">
            <v>UB406</v>
          </cell>
          <cell r="C30" t="str">
            <v>DANIEL</v>
          </cell>
          <cell r="D30" t="str">
            <v>STEMANE</v>
          </cell>
          <cell r="E30" t="str">
            <v>01/07/2022</v>
          </cell>
          <cell r="F30">
            <v>12.49966666666667</v>
          </cell>
        </row>
        <row r="31">
          <cell r="B31" t="str">
            <v>UB410</v>
          </cell>
          <cell r="C31" t="str">
            <v>THOMAS</v>
          </cell>
          <cell r="D31" t="str">
            <v>MABEDHLE</v>
          </cell>
          <cell r="E31" t="str">
            <v>18/10/2022</v>
          </cell>
          <cell r="F31">
            <v>4.750238095238096</v>
          </cell>
        </row>
        <row r="32">
          <cell r="B32" t="str">
            <v>UB412</v>
          </cell>
          <cell r="C32" t="str">
            <v>JOHANNES</v>
          </cell>
          <cell r="D32" t="str">
            <v>STEMANE</v>
          </cell>
          <cell r="E32" t="str">
            <v>29/11/2022</v>
          </cell>
          <cell r="F32">
            <v>12.5</v>
          </cell>
        </row>
        <row r="33">
          <cell r="B33" t="str">
            <v>UB413</v>
          </cell>
          <cell r="C33" t="str">
            <v>STEPHINA</v>
          </cell>
          <cell r="D33" t="str">
            <v>PITJE</v>
          </cell>
          <cell r="E33" t="str">
            <v>09/02/2023</v>
          </cell>
          <cell r="F33">
            <v>16.417000000000002</v>
          </cell>
        </row>
        <row r="34">
          <cell r="B34" t="str">
            <v>UB415</v>
          </cell>
          <cell r="C34" t="str">
            <v>MICHAEL</v>
          </cell>
          <cell r="D34" t="str">
            <v>STEENSMA</v>
          </cell>
          <cell r="E34" t="str">
            <v>01/05/2023</v>
          </cell>
          <cell r="F34">
            <v>6.6670000000000025</v>
          </cell>
        </row>
        <row r="35">
          <cell r="B35" t="str">
            <v>UB416</v>
          </cell>
          <cell r="C35" t="str">
            <v>SIZWE</v>
          </cell>
          <cell r="D35" t="str">
            <v>MALOKA</v>
          </cell>
          <cell r="E35" t="str">
            <v>01/05/2023</v>
          </cell>
          <cell r="F35">
            <v>2.5</v>
          </cell>
        </row>
        <row r="36">
          <cell r="B36" t="str">
            <v>UB418</v>
          </cell>
          <cell r="C36" t="str">
            <v>KATLEGO</v>
          </cell>
          <cell r="D36" t="str">
            <v>SEGOLODI</v>
          </cell>
          <cell r="E36" t="str">
            <v>12/06/2023</v>
          </cell>
          <cell r="F36">
            <v>18.166606060606064</v>
          </cell>
        </row>
        <row r="37">
          <cell r="B37" t="str">
            <v>UB424</v>
          </cell>
          <cell r="C37" t="str">
            <v>GEORGE</v>
          </cell>
          <cell r="D37" t="str">
            <v>MSIZA</v>
          </cell>
          <cell r="E37" t="str">
            <v>20/07/2023</v>
          </cell>
          <cell r="F37">
            <v>8.3333333333333304</v>
          </cell>
        </row>
        <row r="38">
          <cell r="B38" t="str">
            <v>UB426</v>
          </cell>
          <cell r="C38" t="str">
            <v xml:space="preserve">SABELO </v>
          </cell>
          <cell r="D38" t="str">
            <v>MBILA</v>
          </cell>
          <cell r="E38" t="str">
            <v>24/07/2023</v>
          </cell>
          <cell r="F38">
            <v>2.7142857142857162</v>
          </cell>
        </row>
        <row r="39">
          <cell r="B39" t="str">
            <v>UB427</v>
          </cell>
          <cell r="C39" t="str">
            <v xml:space="preserve">MARTIN </v>
          </cell>
          <cell r="D39" t="str">
            <v>RAUTENBACH</v>
          </cell>
          <cell r="E39" t="str">
            <v>01/08/2023</v>
          </cell>
          <cell r="F39">
            <v>11.5</v>
          </cell>
        </row>
        <row r="40">
          <cell r="B40" t="str">
            <v>UB428</v>
          </cell>
          <cell r="C40" t="str">
            <v xml:space="preserve">TRISTAN </v>
          </cell>
          <cell r="D40" t="str">
            <v>SWART</v>
          </cell>
          <cell r="E40" t="str">
            <v>01/08/2023</v>
          </cell>
          <cell r="F40">
            <v>7.5829999999999966</v>
          </cell>
        </row>
        <row r="41">
          <cell r="B41" t="str">
            <v>UB430</v>
          </cell>
          <cell r="C41" t="str">
            <v>MADELEIN</v>
          </cell>
          <cell r="D41" t="str">
            <v>VAN DEN HEEVER</v>
          </cell>
          <cell r="E41" t="str">
            <v>09/10/2023</v>
          </cell>
          <cell r="F41">
            <v>2.4166666666666643</v>
          </cell>
        </row>
        <row r="42">
          <cell r="B42" t="str">
            <v>UB431</v>
          </cell>
          <cell r="C42" t="str">
            <v>ESTELLE</v>
          </cell>
          <cell r="D42" t="str">
            <v>FLEETWOOD</v>
          </cell>
          <cell r="E42" t="str">
            <v>16/10/2023</v>
          </cell>
          <cell r="F42">
            <v>8.9166666666666643</v>
          </cell>
        </row>
        <row r="43">
          <cell r="B43" t="str">
            <v>UB437</v>
          </cell>
          <cell r="C43" t="str">
            <v xml:space="preserve">THEMBAKAZI </v>
          </cell>
          <cell r="D43" t="str">
            <v>MOYIKWA</v>
          </cell>
          <cell r="E43" t="str">
            <v>06/03/2024</v>
          </cell>
          <cell r="F43">
            <v>6.4997619047619066</v>
          </cell>
        </row>
        <row r="44">
          <cell r="B44" t="str">
            <v>UB438</v>
          </cell>
          <cell r="C44" t="str">
            <v>ROELENE</v>
          </cell>
          <cell r="D44" t="str">
            <v>ROSSOUW-KLEYNHANS</v>
          </cell>
          <cell r="E44" t="str">
            <v>18/03/2024</v>
          </cell>
          <cell r="F44">
            <v>5.1785714285714262</v>
          </cell>
        </row>
        <row r="45">
          <cell r="B45" t="str">
            <v>UB440</v>
          </cell>
          <cell r="C45" t="str">
            <v>THABO</v>
          </cell>
          <cell r="D45" t="str">
            <v>MATHUNYANE</v>
          </cell>
          <cell r="E45" t="str">
            <v>08/04/2024</v>
          </cell>
          <cell r="F45">
            <v>4.132575757575756</v>
          </cell>
        </row>
        <row r="46">
          <cell r="B46" t="str">
            <v>UB443</v>
          </cell>
          <cell r="C46" t="str">
            <v xml:space="preserve">ELIAS JACKIE </v>
          </cell>
          <cell r="D46" t="str">
            <v>ZITHA</v>
          </cell>
          <cell r="E46" t="str">
            <v>01/06/2024</v>
          </cell>
          <cell r="F46">
            <v>3.6666666666666661</v>
          </cell>
        </row>
        <row r="47">
          <cell r="B47" t="str">
            <v>UB444</v>
          </cell>
          <cell r="C47" t="str">
            <v xml:space="preserve">ABEDNEGO COLISILE </v>
          </cell>
          <cell r="D47" t="str">
            <v>SAMANISI</v>
          </cell>
          <cell r="E47" t="str">
            <v>01/06/2024</v>
          </cell>
          <cell r="F47">
            <v>4.6666666666666652</v>
          </cell>
        </row>
        <row r="48">
          <cell r="B48" t="str">
            <v>UB445</v>
          </cell>
          <cell r="C48" t="str">
            <v xml:space="preserve">MAWACH HENDRICK </v>
          </cell>
          <cell r="D48" t="str">
            <v>BIMBI</v>
          </cell>
          <cell r="E48" t="str">
            <v>01/06/2024</v>
          </cell>
          <cell r="F48">
            <v>3.6666666666666661</v>
          </cell>
        </row>
        <row r="49">
          <cell r="B49" t="str">
            <v>UB446</v>
          </cell>
          <cell r="C49" t="str">
            <v xml:space="preserve">CHEND JOSEPH </v>
          </cell>
          <cell r="D49" t="str">
            <v>RINGANE</v>
          </cell>
          <cell r="E49" t="str">
            <v>01/06/2024</v>
          </cell>
          <cell r="F49">
            <v>2.6666666666666665</v>
          </cell>
        </row>
        <row r="50">
          <cell r="B50" t="str">
            <v>UB448</v>
          </cell>
          <cell r="C50" t="str">
            <v xml:space="preserve">LILLY </v>
          </cell>
          <cell r="D50" t="str">
            <v>DUBAZANA</v>
          </cell>
          <cell r="E50" t="str">
            <v>18/06/2024</v>
          </cell>
          <cell r="F50">
            <v>6.7291666666666643</v>
          </cell>
        </row>
        <row r="51">
          <cell r="B51" t="str">
            <v>UB458</v>
          </cell>
          <cell r="C51" t="str">
            <v>DILLON</v>
          </cell>
          <cell r="D51" t="str">
            <v>DU PLESSIE</v>
          </cell>
          <cell r="E51" t="str">
            <v>11/11/2024</v>
          </cell>
          <cell r="F51">
            <v>4.6428571428571415</v>
          </cell>
        </row>
        <row r="52">
          <cell r="B52" t="str">
            <v>UB459</v>
          </cell>
          <cell r="C52" t="str">
            <v>MADIMETJA</v>
          </cell>
          <cell r="D52" t="str">
            <v>LEBELO</v>
          </cell>
          <cell r="E52" t="str">
            <v>11/11/2024</v>
          </cell>
          <cell r="F52">
            <v>4.1428571428571415</v>
          </cell>
        </row>
        <row r="53">
          <cell r="B53" t="str">
            <v>UB460</v>
          </cell>
          <cell r="C53" t="str">
            <v>NOMPUMELELO</v>
          </cell>
          <cell r="D53" t="str">
            <v>TSHABALALA</v>
          </cell>
          <cell r="E53" t="str">
            <v>12/11/2024</v>
          </cell>
          <cell r="F53">
            <v>4.5833333333333321</v>
          </cell>
        </row>
        <row r="54">
          <cell r="B54" t="str">
            <v>UB501</v>
          </cell>
          <cell r="C54" t="str">
            <v>THATO</v>
          </cell>
          <cell r="D54" t="str">
            <v>PHILLIP</v>
          </cell>
          <cell r="E54" t="str">
            <v>25/08/2025</v>
          </cell>
          <cell r="F54">
            <v>3.2976190476190474</v>
          </cell>
        </row>
        <row r="55">
          <cell r="B55" t="str">
            <v>UB502</v>
          </cell>
          <cell r="C55" t="str">
            <v>LINDO</v>
          </cell>
          <cell r="D55" t="str">
            <v>NTULI</v>
          </cell>
          <cell r="E55" t="str">
            <v>15/09/2025</v>
          </cell>
          <cell r="F55">
            <v>3.4318181818181817</v>
          </cell>
        </row>
        <row r="56">
          <cell r="B56" t="str">
            <v>UB504</v>
          </cell>
          <cell r="C56" t="str">
            <v>MANDY</v>
          </cell>
          <cell r="D56" t="str">
            <v>CUPIDO</v>
          </cell>
          <cell r="E56" t="str">
            <v>09/10/2025</v>
          </cell>
          <cell r="F56">
            <v>1.4239130434782608</v>
          </cell>
        </row>
        <row r="57">
          <cell r="B57" t="str">
            <v>UB505</v>
          </cell>
          <cell r="C57" t="str">
            <v>EUGENIA</v>
          </cell>
          <cell r="D57" t="str">
            <v>MASINGI</v>
          </cell>
          <cell r="E57" t="str">
            <v>13/10/2025</v>
          </cell>
          <cell r="F57">
            <v>1.5027173913043477</v>
          </cell>
        </row>
        <row r="58">
          <cell r="B58" t="str">
            <v>UB506</v>
          </cell>
          <cell r="C58" t="str">
            <v>NATHANIEL</v>
          </cell>
          <cell r="D58" t="str">
            <v>MOKOENA</v>
          </cell>
          <cell r="E58" t="str">
            <v>13/10/2025</v>
          </cell>
          <cell r="F58">
            <v>-0.68478260869565233</v>
          </cell>
        </row>
        <row r="59">
          <cell r="B59" t="str">
            <v>UB507</v>
          </cell>
          <cell r="C59" t="str">
            <v>SIMPHIWE</v>
          </cell>
          <cell r="D59" t="str">
            <v>NZIMANDE</v>
          </cell>
          <cell r="E59" t="str">
            <v>13/10/2025</v>
          </cell>
          <cell r="F59">
            <v>1.3152173913043477</v>
          </cell>
        </row>
        <row r="60">
          <cell r="B60" t="str">
            <v>UB508</v>
          </cell>
          <cell r="C60" t="str">
            <v>KAREN</v>
          </cell>
          <cell r="D60" t="str">
            <v>MAKHUBU</v>
          </cell>
          <cell r="E60" t="str">
            <v>20/10/2025</v>
          </cell>
          <cell r="F60">
            <v>3.0434782608695654</v>
          </cell>
        </row>
        <row r="61">
          <cell r="B61" t="str">
            <v>UB509</v>
          </cell>
          <cell r="C61" t="str">
            <v>LERIZE</v>
          </cell>
          <cell r="D61" t="str">
            <v>STROH</v>
          </cell>
          <cell r="E61" t="str">
            <v>01/10/2025</v>
          </cell>
          <cell r="F61">
            <v>3.75</v>
          </cell>
        </row>
        <row r="62">
          <cell r="B62" t="str">
            <v>UB510</v>
          </cell>
          <cell r="C62" t="str">
            <v>SIBUSISO</v>
          </cell>
          <cell r="D62" t="str">
            <v>MAHLANGU</v>
          </cell>
          <cell r="E62" t="str">
            <v>03/11/2025</v>
          </cell>
          <cell r="F62">
            <v>3.5</v>
          </cell>
        </row>
        <row r="63">
          <cell r="B63" t="str">
            <v>UB511</v>
          </cell>
          <cell r="C63" t="str">
            <v>WAYNE</v>
          </cell>
          <cell r="D63" t="str">
            <v>BAARTZES</v>
          </cell>
          <cell r="E63" t="str">
            <v>01/11/2025</v>
          </cell>
          <cell r="F63">
            <v>6.5</v>
          </cell>
        </row>
        <row r="64">
          <cell r="B64" t="str">
            <v>UB512</v>
          </cell>
          <cell r="C64" t="str">
            <v>KATLEHO</v>
          </cell>
          <cell r="D64" t="str">
            <v>MANYONI</v>
          </cell>
          <cell r="E64" t="str">
            <v>12/11/2025</v>
          </cell>
          <cell r="F64">
            <v>2.0625</v>
          </cell>
        </row>
        <row r="65">
          <cell r="B65" t="str">
            <v>UB513</v>
          </cell>
          <cell r="C65" t="str">
            <v>KEVAL</v>
          </cell>
          <cell r="D65" t="str">
            <v>GOVENDER</v>
          </cell>
          <cell r="E65" t="str">
            <v>12/11/2025</v>
          </cell>
          <cell r="F65">
            <v>2.0625</v>
          </cell>
        </row>
        <row r="66">
          <cell r="B66" t="str">
            <v>UB514</v>
          </cell>
          <cell r="C66" t="str">
            <v>SYDNEY</v>
          </cell>
          <cell r="D66" t="str">
            <v>TSHISHONGA</v>
          </cell>
          <cell r="E66" t="str">
            <v>12/11/2025</v>
          </cell>
          <cell r="F66">
            <v>0.5625</v>
          </cell>
        </row>
        <row r="67">
          <cell r="B67" t="str">
            <v>UB515</v>
          </cell>
          <cell r="C67" t="str">
            <v>MIRRIAM</v>
          </cell>
          <cell r="D67" t="str">
            <v>SESOKO</v>
          </cell>
          <cell r="E67" t="str">
            <v>27/11/2025</v>
          </cell>
          <cell r="F67">
            <v>1.375</v>
          </cell>
        </row>
        <row r="68">
          <cell r="B68" t="str">
            <v>UB516</v>
          </cell>
          <cell r="C68" t="str">
            <v>JESSICA</v>
          </cell>
          <cell r="D68" t="str">
            <v>JOODT</v>
          </cell>
          <cell r="E68" t="str">
            <v>02/02/2026</v>
          </cell>
          <cell r="F68">
            <v>1.75</v>
          </cell>
        </row>
        <row r="69">
          <cell r="B69" t="str">
            <v>UB517</v>
          </cell>
          <cell r="C69" t="str">
            <v>THOMAS</v>
          </cell>
          <cell r="D69" t="str">
            <v>PONO</v>
          </cell>
          <cell r="E69">
            <v>46082</v>
          </cell>
          <cell r="F69">
            <v>2.5</v>
          </cell>
        </row>
        <row r="70">
          <cell r="B70" t="str">
            <v>UB518</v>
          </cell>
          <cell r="C70" t="str">
            <v>MAXWELL</v>
          </cell>
          <cell r="D70" t="str">
            <v>NGCAGO</v>
          </cell>
          <cell r="E70" t="str">
            <v>11/03/2026</v>
          </cell>
          <cell r="F70">
            <v>2.1022727272727275</v>
          </cell>
        </row>
        <row r="71">
          <cell r="B71" t="str">
            <v>UB519</v>
          </cell>
          <cell r="C71" t="str">
            <v>SUZAN</v>
          </cell>
          <cell r="D71" t="str">
            <v>CHAUKE</v>
          </cell>
          <cell r="E71" t="str">
            <v>11/03/2026</v>
          </cell>
          <cell r="F71">
            <v>2.1022727272727275</v>
          </cell>
        </row>
        <row r="72">
          <cell r="B72" t="str">
            <v>UB520</v>
          </cell>
          <cell r="C72" t="str">
            <v>SANDILE</v>
          </cell>
          <cell r="D72" t="str">
            <v>LINDA</v>
          </cell>
          <cell r="E72" t="str">
            <v>23/03/2026</v>
          </cell>
          <cell r="F72">
            <v>1.6477272727272727</v>
          </cell>
        </row>
        <row r="73">
          <cell r="B73" t="str">
            <v>UB521</v>
          </cell>
          <cell r="C73" t="str">
            <v>SOLOMON</v>
          </cell>
          <cell r="D73" t="str">
            <v>MASHIANE</v>
          </cell>
          <cell r="E73" t="str">
            <v>01/04/2026</v>
          </cell>
          <cell r="F73">
            <v>1.25</v>
          </cell>
        </row>
        <row r="74">
          <cell r="B74" t="str">
            <v>UBN150</v>
          </cell>
          <cell r="C74" t="str">
            <v>STEPHEN JNR</v>
          </cell>
          <cell r="D74" t="str">
            <v>STROH</v>
          </cell>
          <cell r="E74" t="str">
            <v>01/01/2020</v>
          </cell>
          <cell r="F74">
            <v>16.666666666666664</v>
          </cell>
        </row>
        <row r="75">
          <cell r="B75" t="str">
            <v>UEC020</v>
          </cell>
          <cell r="C75" t="str">
            <v>JAMES</v>
          </cell>
          <cell r="D75" t="str">
            <v>QUBU</v>
          </cell>
          <cell r="E75" t="str">
            <v>01/07/2020</v>
          </cell>
          <cell r="F75">
            <v>17.667000000000002</v>
          </cell>
        </row>
        <row r="76">
          <cell r="B76" t="str">
            <v>UBN093</v>
          </cell>
          <cell r="C76" t="str">
            <v>ANEL</v>
          </cell>
          <cell r="D76" t="str">
            <v>BURGER</v>
          </cell>
          <cell r="E76" t="str">
            <v>26/11/2007</v>
          </cell>
          <cell r="F76">
            <v>1.376166666666675</v>
          </cell>
        </row>
        <row r="77">
          <cell r="B77" t="str">
            <v>UBN098</v>
          </cell>
          <cell r="C77" t="str">
            <v>JENNIFER</v>
          </cell>
          <cell r="D77" t="str">
            <v>FERGUSON</v>
          </cell>
          <cell r="E77" t="str">
            <v>01/01/2016</v>
          </cell>
          <cell r="F77">
            <v>3.6669333333333283</v>
          </cell>
        </row>
        <row r="78">
          <cell r="B78" t="str">
            <v>UBN127</v>
          </cell>
          <cell r="C78" t="str">
            <v>VINCENT</v>
          </cell>
          <cell r="D78" t="str">
            <v>NEILSON</v>
          </cell>
          <cell r="E78" t="str">
            <v>17/09/2018</v>
          </cell>
          <cell r="F78">
            <v>5.0006666666666675</v>
          </cell>
        </row>
        <row r="79">
          <cell r="B79" t="str">
            <v>UBN145</v>
          </cell>
          <cell r="C79" t="str">
            <v>PETER</v>
          </cell>
          <cell r="D79" t="str">
            <v>MOKOENA</v>
          </cell>
          <cell r="E79" t="str">
            <v>06/01/2020</v>
          </cell>
          <cell r="F79">
            <v>4.1663333333333359</v>
          </cell>
        </row>
        <row r="80">
          <cell r="B80" t="str">
            <v>UBN164</v>
          </cell>
          <cell r="C80" t="str">
            <v>FRIDDAH</v>
          </cell>
          <cell r="D80" t="str">
            <v>SITHOLE</v>
          </cell>
          <cell r="E80" t="str">
            <v>01/04/2022</v>
          </cell>
          <cell r="F80">
            <v>8.5</v>
          </cell>
        </row>
        <row r="81">
          <cell r="B81" t="str">
            <v>UBN168</v>
          </cell>
          <cell r="C81" t="str">
            <v xml:space="preserve">FORTUNE </v>
          </cell>
          <cell r="D81" t="str">
            <v>MABUSO</v>
          </cell>
          <cell r="E81" t="str">
            <v>11/08/2022</v>
          </cell>
          <cell r="F81">
            <v>1.7502173913043499</v>
          </cell>
        </row>
        <row r="82">
          <cell r="B82" t="str">
            <v>UBN171</v>
          </cell>
          <cell r="C82" t="str">
            <v>PINKI</v>
          </cell>
          <cell r="D82" t="str">
            <v>MBILA</v>
          </cell>
          <cell r="E82" t="str">
            <v>04/01/2023</v>
          </cell>
          <cell r="F82">
            <v>4.5000000000000009</v>
          </cell>
        </row>
        <row r="83">
          <cell r="B83" t="str">
            <v>UBN176</v>
          </cell>
          <cell r="C83" t="str">
            <v>JABU</v>
          </cell>
          <cell r="D83" t="str">
            <v>MAHLALELA</v>
          </cell>
          <cell r="E83" t="str">
            <v>03/04/2023</v>
          </cell>
          <cell r="F83">
            <v>-0.49999999999999911</v>
          </cell>
        </row>
        <row r="84">
          <cell r="B84" t="str">
            <v>UBN179</v>
          </cell>
          <cell r="C84" t="str">
            <v>ADAMARI</v>
          </cell>
          <cell r="D84" t="str">
            <v>BREDENHANN</v>
          </cell>
          <cell r="E84" t="str">
            <v>05/06/2023</v>
          </cell>
          <cell r="F84">
            <v>5.4696969696969688</v>
          </cell>
        </row>
        <row r="85">
          <cell r="B85" t="str">
            <v>UBN182</v>
          </cell>
          <cell r="C85" t="str">
            <v>MCKYLE</v>
          </cell>
          <cell r="D85" t="str">
            <v>CLARKE</v>
          </cell>
          <cell r="E85" t="str">
            <v>08/01/2024</v>
          </cell>
          <cell r="F85">
            <v>1.8949275362318829</v>
          </cell>
        </row>
        <row r="86">
          <cell r="B86" t="str">
            <v>UBN187</v>
          </cell>
          <cell r="C86" t="str">
            <v xml:space="preserve">JACO </v>
          </cell>
          <cell r="D86" t="str">
            <v>BRUYNS</v>
          </cell>
          <cell r="E86" t="str">
            <v>08/05/2024</v>
          </cell>
          <cell r="F86">
            <v>2.2282608695652142</v>
          </cell>
        </row>
        <row r="87">
          <cell r="B87" t="str">
            <v>UBN190</v>
          </cell>
          <cell r="C87" t="str">
            <v>WALTER</v>
          </cell>
          <cell r="D87" t="str">
            <v>MOKONE</v>
          </cell>
          <cell r="E87" t="str">
            <v>01/08/2024</v>
          </cell>
          <cell r="F87">
            <v>-2.4424906541753444E-15</v>
          </cell>
        </row>
        <row r="88">
          <cell r="B88" t="str">
            <v>UBN191</v>
          </cell>
          <cell r="C88" t="str">
            <v>GIVEN</v>
          </cell>
          <cell r="D88" t="str">
            <v>MATSIMELA</v>
          </cell>
          <cell r="E88" t="str">
            <v>02/09/2024</v>
          </cell>
          <cell r="F88">
            <v>0.16666666666666652</v>
          </cell>
        </row>
        <row r="89">
          <cell r="B89" t="str">
            <v>UBN193</v>
          </cell>
          <cell r="C89" t="str">
            <v xml:space="preserve">NTEMBEKO </v>
          </cell>
          <cell r="D89" t="str">
            <v xml:space="preserve">POTOLWANA </v>
          </cell>
          <cell r="E89" t="str">
            <v>01/11/2024</v>
          </cell>
          <cell r="F89">
            <v>4.9999999999999991</v>
          </cell>
        </row>
        <row r="90">
          <cell r="B90" t="str">
            <v>UBN196</v>
          </cell>
          <cell r="C90" t="str">
            <v>NATASHA</v>
          </cell>
          <cell r="D90" t="str">
            <v>VAN JAARSVELD</v>
          </cell>
          <cell r="E90">
            <v>45672</v>
          </cell>
          <cell r="F90">
            <v>0.7898550724637674</v>
          </cell>
        </row>
        <row r="91">
          <cell r="B91" t="str">
            <v>UBN197</v>
          </cell>
          <cell r="C91" t="str">
            <v>SIHLE</v>
          </cell>
          <cell r="D91" t="str">
            <v>BANYINI</v>
          </cell>
          <cell r="E91">
            <v>45691</v>
          </cell>
          <cell r="F91">
            <v>-0.50000000000000022</v>
          </cell>
        </row>
        <row r="92">
          <cell r="B92" t="str">
            <v>UBN198</v>
          </cell>
          <cell r="C92" t="str">
            <v>THANDILE</v>
          </cell>
          <cell r="D92" t="str">
            <v>KOLWANE</v>
          </cell>
          <cell r="E92">
            <v>45719</v>
          </cell>
          <cell r="F92">
            <v>2.6666666666666661</v>
          </cell>
        </row>
        <row r="93">
          <cell r="B93" t="str">
            <v>UBN199</v>
          </cell>
          <cell r="C93" t="str">
            <v>PRIDE</v>
          </cell>
          <cell r="D93" t="str">
            <v>TSHABALALA</v>
          </cell>
          <cell r="E93">
            <v>45754</v>
          </cell>
          <cell r="F93">
            <v>1.1060606060606066</v>
          </cell>
        </row>
        <row r="94">
          <cell r="B94" t="str">
            <v>UBN200</v>
          </cell>
          <cell r="C94" t="str">
            <v>ANCIA</v>
          </cell>
          <cell r="D94" t="str">
            <v>BOEIJE</v>
          </cell>
          <cell r="E94">
            <v>45817</v>
          </cell>
          <cell r="F94">
            <v>3.75</v>
          </cell>
        </row>
        <row r="95">
          <cell r="B95" t="str">
            <v>UBN201</v>
          </cell>
          <cell r="C95" t="str">
            <v>MORNE</v>
          </cell>
          <cell r="D95" t="str">
            <v>PRETORIUS</v>
          </cell>
          <cell r="E95" t="str">
            <v>10/11/2025</v>
          </cell>
          <cell r="F95">
            <v>1.1875</v>
          </cell>
        </row>
        <row r="96">
          <cell r="B96" t="str">
            <v>UBN202</v>
          </cell>
          <cell r="C96" t="str">
            <v>AZANTE</v>
          </cell>
          <cell r="D96" t="str">
            <v>SNIJDERS</v>
          </cell>
          <cell r="E96">
            <v>46034</v>
          </cell>
          <cell r="F96">
            <v>0.10227272727272729</v>
          </cell>
        </row>
        <row r="97">
          <cell r="B97" t="str">
            <v>UBN203</v>
          </cell>
          <cell r="C97" t="str">
            <v>ELMAR</v>
          </cell>
          <cell r="D97" t="str">
            <v>MYBURGH</v>
          </cell>
          <cell r="E97">
            <v>46072</v>
          </cell>
          <cell r="F97">
            <v>1.9375</v>
          </cell>
        </row>
        <row r="98">
          <cell r="B98" t="str">
            <v>UBN204</v>
          </cell>
          <cell r="C98" t="str">
            <v>ANNEMI</v>
          </cell>
          <cell r="D98" t="str">
            <v>STRYDOM</v>
          </cell>
          <cell r="E98">
            <v>46076</v>
          </cell>
          <cell r="F98">
            <v>3.75</v>
          </cell>
        </row>
        <row r="99">
          <cell r="B99" t="str">
            <v>UBN205</v>
          </cell>
          <cell r="C99" t="str">
            <v>ANIKE</v>
          </cell>
          <cell r="D99" t="str">
            <v>THORNTON</v>
          </cell>
          <cell r="E99">
            <v>46082</v>
          </cell>
          <cell r="F99">
            <v>2.8333333333333335</v>
          </cell>
        </row>
        <row r="100">
          <cell r="B100" t="str">
            <v>UBN206</v>
          </cell>
          <cell r="C100" t="str">
            <v>COENRAAD</v>
          </cell>
          <cell r="D100" t="str">
            <v>GROENEWALD</v>
          </cell>
          <cell r="E100">
            <v>46192</v>
          </cell>
          <cell r="F100">
            <v>2.1136363636363633</v>
          </cell>
        </row>
        <row r="101">
          <cell r="B101" t="str">
            <v>UBN207</v>
          </cell>
          <cell r="C101" t="str">
            <v>ANDRIES</v>
          </cell>
          <cell r="D101" t="str">
            <v>COETZEE</v>
          </cell>
          <cell r="E101">
            <v>46113</v>
          </cell>
          <cell r="F101">
            <v>1.25</v>
          </cell>
        </row>
        <row r="102">
          <cell r="B102" t="str">
            <v>UEC021</v>
          </cell>
          <cell r="C102" t="str">
            <v>MARY</v>
          </cell>
          <cell r="D102" t="str">
            <v>MAKOLOLO</v>
          </cell>
          <cell r="E102" t="str">
            <v>01/07/2020</v>
          </cell>
          <cell r="F102">
            <v>3.9166666666666616</v>
          </cell>
        </row>
        <row r="103">
          <cell r="B103" t="str">
            <v>FUT003</v>
          </cell>
          <cell r="C103" t="str">
            <v>SHADRACK</v>
          </cell>
          <cell r="D103" t="str">
            <v>KLAAS</v>
          </cell>
          <cell r="E103" t="str">
            <v>16/11/2021</v>
          </cell>
          <cell r="F103">
            <v>7</v>
          </cell>
        </row>
        <row r="104">
          <cell r="B104" t="str">
            <v>FUT015</v>
          </cell>
          <cell r="C104" t="str">
            <v>PHUMLANI</v>
          </cell>
          <cell r="D104" t="str">
            <v>NTIMANE</v>
          </cell>
          <cell r="E104" t="str">
            <v>28/09/2022</v>
          </cell>
          <cell r="F104">
            <v>2.000454545454545</v>
          </cell>
        </row>
        <row r="105">
          <cell r="B105" t="str">
            <v>FUT019</v>
          </cell>
          <cell r="C105" t="str">
            <v>VINCE</v>
          </cell>
          <cell r="D105" t="str">
            <v>SELLO</v>
          </cell>
          <cell r="E105" t="str">
            <v>26/06/2023</v>
          </cell>
          <cell r="F105">
            <v>2.0000909090909094</v>
          </cell>
        </row>
        <row r="106">
          <cell r="B106" t="str">
            <v>FUT021</v>
          </cell>
          <cell r="C106" t="str">
            <v xml:space="preserve">PRIDE </v>
          </cell>
          <cell r="D106" t="str">
            <v>MATSANE</v>
          </cell>
          <cell r="E106" t="str">
            <v>17/07/2023</v>
          </cell>
          <cell r="F106">
            <v>7.999761904761904</v>
          </cell>
        </row>
        <row r="107">
          <cell r="B107" t="str">
            <v>FUT024</v>
          </cell>
          <cell r="C107" t="str">
            <v>PAPIKI</v>
          </cell>
          <cell r="D107" t="str">
            <v>MASHABELA</v>
          </cell>
          <cell r="E107" t="str">
            <v>01/09/2023</v>
          </cell>
          <cell r="F107">
            <v>11.5</v>
          </cell>
        </row>
        <row r="108">
          <cell r="B108" t="str">
            <v>FUT027</v>
          </cell>
          <cell r="C108" t="str">
            <v>MUZI</v>
          </cell>
          <cell r="D108" t="str">
            <v>NKOSI</v>
          </cell>
          <cell r="E108" t="str">
            <v>27/11/2023</v>
          </cell>
          <cell r="F108">
            <v>-1.0227272727272734</v>
          </cell>
        </row>
        <row r="109">
          <cell r="B109" t="str">
            <v>FUT031</v>
          </cell>
          <cell r="C109" t="str">
            <v>LIZELLE</v>
          </cell>
          <cell r="D109" t="str">
            <v>STROH</v>
          </cell>
          <cell r="E109" t="str">
            <v>01/04/2024</v>
          </cell>
          <cell r="F109">
            <v>23.333333333333332</v>
          </cell>
        </row>
        <row r="110">
          <cell r="B110" t="str">
            <v>FUT035</v>
          </cell>
          <cell r="C110" t="str">
            <v>VINCENT</v>
          </cell>
          <cell r="D110" t="str">
            <v>SHEZI</v>
          </cell>
          <cell r="E110" t="str">
            <v>05/08/2024</v>
          </cell>
          <cell r="F110">
            <v>0.38636363636363669</v>
          </cell>
        </row>
        <row r="111">
          <cell r="B111" t="str">
            <v>FUT038</v>
          </cell>
          <cell r="C111" t="str">
            <v>ALFRED</v>
          </cell>
          <cell r="D111" t="str">
            <v>MNGOMEZULU</v>
          </cell>
          <cell r="E111" t="str">
            <v>03/10/2024</v>
          </cell>
          <cell r="F111">
            <v>-2.1086956521739131</v>
          </cell>
        </row>
        <row r="112">
          <cell r="B112" t="str">
            <v>FUT040</v>
          </cell>
          <cell r="C112" t="str">
            <v>SMART</v>
          </cell>
          <cell r="D112" t="str">
            <v>BHUMURE</v>
          </cell>
          <cell r="E112" t="str">
            <v>10/01/2025</v>
          </cell>
          <cell r="F112">
            <v>4.6195652173913047</v>
          </cell>
        </row>
        <row r="113">
          <cell r="B113" t="str">
            <v>FUT041</v>
          </cell>
          <cell r="C113" t="str">
            <v>SPHESIHLE</v>
          </cell>
          <cell r="D113" t="str">
            <v>MNCWABE</v>
          </cell>
          <cell r="E113" t="str">
            <v>20/01/2025</v>
          </cell>
          <cell r="F113">
            <v>0</v>
          </cell>
        </row>
        <row r="114">
          <cell r="B114" t="str">
            <v>FUT042</v>
          </cell>
          <cell r="C114" t="str">
            <v>ISAAC</v>
          </cell>
          <cell r="D114" t="str">
            <v>XABA</v>
          </cell>
          <cell r="E114" t="str">
            <v>01/08/2025</v>
          </cell>
          <cell r="F114">
            <v>0</v>
          </cell>
        </row>
        <row r="115">
          <cell r="B115" t="str">
            <v>FUT043</v>
          </cell>
          <cell r="C115" t="str">
            <v>VUSI</v>
          </cell>
          <cell r="D115" t="str">
            <v>MTHABELA</v>
          </cell>
          <cell r="E115" t="str">
            <v>01/09/2025</v>
          </cell>
          <cell r="F115">
            <v>0</v>
          </cell>
        </row>
        <row r="116">
          <cell r="B116" t="str">
            <v>UBM001</v>
          </cell>
          <cell r="C116" t="str">
            <v>TIAAN</v>
          </cell>
          <cell r="D116" t="str">
            <v>GROBLER</v>
          </cell>
          <cell r="E116" t="str">
            <v>26/01/2022</v>
          </cell>
          <cell r="F116">
            <v>2.5834285714285734</v>
          </cell>
        </row>
        <row r="117">
          <cell r="B117" t="str">
            <v>UBM002</v>
          </cell>
          <cell r="C117" t="str">
            <v>RUDI</v>
          </cell>
          <cell r="D117" t="str">
            <v>VAN VUUREN</v>
          </cell>
          <cell r="E117" t="str">
            <v>01/07/2022</v>
          </cell>
          <cell r="F117">
            <v>2.333000000000002</v>
          </cell>
        </row>
        <row r="118">
          <cell r="B118" t="str">
            <v>UBM004</v>
          </cell>
          <cell r="C118" t="str">
            <v>THOMAS</v>
          </cell>
          <cell r="D118" t="str">
            <v>DE JAGER</v>
          </cell>
          <cell r="E118" t="str">
            <v>14/08/2023</v>
          </cell>
          <cell r="F118">
            <v>9.0828695652173899</v>
          </cell>
        </row>
        <row r="119">
          <cell r="B119" t="str">
            <v>FCA001</v>
          </cell>
          <cell r="C119" t="str">
            <v>DOUG</v>
          </cell>
          <cell r="D119" t="str">
            <v>KAMUKAPA</v>
          </cell>
          <cell r="E119" t="str">
            <v>28/07/2024</v>
          </cell>
          <cell r="F119">
            <v>3.4130434782608692</v>
          </cell>
        </row>
        <row r="120">
          <cell r="B120" t="str">
            <v>FCA002</v>
          </cell>
          <cell r="C120" t="str">
            <v>CALLAN</v>
          </cell>
          <cell r="D120" t="str">
            <v>JACOBS</v>
          </cell>
          <cell r="E120" t="str">
            <v>01/08/2024</v>
          </cell>
          <cell r="F120">
            <v>5.25</v>
          </cell>
        </row>
        <row r="121">
          <cell r="B121" t="str">
            <v>FCA003</v>
          </cell>
          <cell r="C121" t="str">
            <v>KAYLANA</v>
          </cell>
          <cell r="D121" t="str">
            <v>MORKEL</v>
          </cell>
          <cell r="E121" t="str">
            <v>01/10/2024</v>
          </cell>
          <cell r="F121">
            <v>4.3333333333333321</v>
          </cell>
        </row>
        <row r="122">
          <cell r="B122" t="str">
            <v>FCA004</v>
          </cell>
          <cell r="C122" t="str">
            <v>WERNER</v>
          </cell>
          <cell r="D122" t="str">
            <v>TERBLANS</v>
          </cell>
          <cell r="E122" t="str">
            <v>28/09/2024</v>
          </cell>
          <cell r="F122">
            <v>5.8095238095238102</v>
          </cell>
        </row>
        <row r="123">
          <cell r="B123" t="str">
            <v>FCA006</v>
          </cell>
          <cell r="C123" t="str">
            <v>DEBORAH</v>
          </cell>
          <cell r="D123" t="str">
            <v>GORDON</v>
          </cell>
          <cell r="E123" t="str">
            <v>01/12/2024</v>
          </cell>
          <cell r="F123">
            <v>-1.75</v>
          </cell>
        </row>
        <row r="124">
          <cell r="B124" t="str">
            <v>FCA008</v>
          </cell>
          <cell r="C124" t="str">
            <v>KARABO</v>
          </cell>
          <cell r="D124" t="str">
            <v>SCHOEMAN</v>
          </cell>
          <cell r="E124" t="str">
            <v>03/11/2025</v>
          </cell>
          <cell r="F124">
            <v>1.5</v>
          </cell>
        </row>
        <row r="125">
          <cell r="B125" t="str">
            <v>FCA009</v>
          </cell>
          <cell r="C125" t="str">
            <v>MMAPULA</v>
          </cell>
          <cell r="D125" t="str">
            <v xml:space="preserve">SEKGOBELA </v>
          </cell>
          <cell r="E125" t="str">
            <v>05/01/2026</v>
          </cell>
          <cell r="F125">
            <v>3.6363636363636362</v>
          </cell>
        </row>
        <row r="126">
          <cell r="B126" t="str">
            <v>FCA010</v>
          </cell>
          <cell r="C126" t="str">
            <v>LYZETTE</v>
          </cell>
          <cell r="D126" t="str">
            <v>DE VILLIERS</v>
          </cell>
          <cell r="E126" t="str">
            <v>06/01/2026</v>
          </cell>
          <cell r="F126">
            <v>4.829545454545455</v>
          </cell>
        </row>
        <row r="127">
          <cell r="B127" t="str">
            <v>FCA011</v>
          </cell>
          <cell r="C127" t="str">
            <v>KARIBU</v>
          </cell>
          <cell r="D127" t="str">
            <v>VOKWANA</v>
          </cell>
          <cell r="E127" t="str">
            <v>08/01/2026</v>
          </cell>
          <cell r="F127">
            <v>4.7159090909090908</v>
          </cell>
        </row>
        <row r="128">
          <cell r="B128" t="str">
            <v>UB449</v>
          </cell>
          <cell r="C128" t="str">
            <v>PIETER</v>
          </cell>
          <cell r="D128" t="str">
            <v>SMIT</v>
          </cell>
          <cell r="E128" t="str">
            <v>24/06/2024</v>
          </cell>
          <cell r="F128">
            <v>1.4791666666666654</v>
          </cell>
        </row>
        <row r="129">
          <cell r="B129" t="str">
            <v>UBN184</v>
          </cell>
          <cell r="C129" t="str">
            <v>GERT JNR</v>
          </cell>
          <cell r="D129" t="str">
            <v>VAN DER MERWE</v>
          </cell>
          <cell r="E129" t="str">
            <v>01/02/2024</v>
          </cell>
          <cell r="F129">
            <v>6.5829999999999993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B4F20-B0CA-4244-9995-DDA4EA06974A}">
  <dimension ref="A1:L127"/>
  <sheetViews>
    <sheetView tabSelected="1" topLeftCell="A76" workbookViewId="0">
      <selection activeCell="F91" sqref="F91"/>
    </sheetView>
  </sheetViews>
  <sheetFormatPr defaultRowHeight="14.4" x14ac:dyDescent="0.3"/>
  <cols>
    <col min="1" max="1" width="15" bestFit="1" customWidth="1"/>
    <col min="2" max="2" width="15.77734375" style="4" bestFit="1" customWidth="1"/>
    <col min="3" max="3" width="15" style="4" customWidth="1"/>
    <col min="4" max="4" width="16.77734375" style="3" bestFit="1" customWidth="1"/>
    <col min="5" max="6" width="16.77734375" style="3" customWidth="1"/>
    <col min="7" max="7" width="14" style="4" bestFit="1" customWidth="1"/>
    <col min="8" max="8" width="15.44140625" style="5" bestFit="1" customWidth="1"/>
    <col min="9" max="9" width="14" style="4" customWidth="1"/>
    <col min="10" max="10" width="16.21875" style="4" bestFit="1" customWidth="1"/>
    <col min="11" max="11" width="14.6640625" style="1" bestFit="1" customWidth="1"/>
    <col min="12" max="12" width="14.109375" style="1" bestFit="1" customWidth="1"/>
  </cols>
  <sheetData>
    <row r="1" spans="1:12" x14ac:dyDescent="0.3">
      <c r="A1" t="s">
        <v>0</v>
      </c>
      <c r="B1" s="3" t="s">
        <v>130</v>
      </c>
      <c r="C1" s="3" t="s">
        <v>131</v>
      </c>
      <c r="D1" s="3" t="s">
        <v>1</v>
      </c>
      <c r="E1" s="3" t="s">
        <v>132</v>
      </c>
      <c r="F1" s="3" t="s">
        <v>133</v>
      </c>
      <c r="G1" s="4" t="s">
        <v>2</v>
      </c>
      <c r="H1" s="5" t="s">
        <v>134</v>
      </c>
      <c r="I1" s="3" t="s">
        <v>135</v>
      </c>
      <c r="J1" s="4" t="s">
        <v>3</v>
      </c>
      <c r="K1" s="1" t="s">
        <v>4</v>
      </c>
      <c r="L1" s="1" t="s">
        <v>5</v>
      </c>
    </row>
    <row r="2" spans="1:12" x14ac:dyDescent="0.3">
      <c r="A2" t="s">
        <v>6</v>
      </c>
      <c r="B2" s="4">
        <v>20</v>
      </c>
      <c r="C2" s="3"/>
      <c r="D2" s="3">
        <f>IFERROR(VLOOKUP(A2,'[1]Annual Leave'!$B$2:$F$129,5,FALSE),0)</f>
        <v>13.666666666666661</v>
      </c>
      <c r="E2" s="3">
        <v>30</v>
      </c>
      <c r="F2" s="3">
        <f>E2-G2</f>
        <v>0</v>
      </c>
      <c r="G2" s="4">
        <v>30</v>
      </c>
      <c r="H2" s="5">
        <v>3</v>
      </c>
      <c r="I2" s="3">
        <f>H2-J2</f>
        <v>0</v>
      </c>
      <c r="J2" s="4">
        <v>3</v>
      </c>
      <c r="K2" s="1">
        <v>45413</v>
      </c>
      <c r="L2" s="1">
        <v>46478</v>
      </c>
    </row>
    <row r="3" spans="1:12" x14ac:dyDescent="0.3">
      <c r="A3" t="s">
        <v>7</v>
      </c>
      <c r="B3" s="4">
        <v>20</v>
      </c>
      <c r="C3" s="3"/>
      <c r="D3" s="3">
        <f>IFERROR(VLOOKUP(A3,'[1]Annual Leave'!$B$2:$F$129,5,FALSE),0)</f>
        <v>5.6666666666666758</v>
      </c>
      <c r="E3" s="3">
        <v>30</v>
      </c>
      <c r="F3" s="3">
        <f t="shared" ref="F3:F66" si="0">E3-G3</f>
        <v>0</v>
      </c>
      <c r="G3" s="4">
        <v>30</v>
      </c>
      <c r="H3" s="5">
        <v>3</v>
      </c>
      <c r="I3" s="3">
        <f t="shared" ref="I3:I66" si="1">H3-J3</f>
        <v>0</v>
      </c>
      <c r="J3" s="4">
        <v>3</v>
      </c>
      <c r="K3" s="1">
        <v>46082</v>
      </c>
      <c r="L3" s="1">
        <v>47150</v>
      </c>
    </row>
    <row r="4" spans="1:12" x14ac:dyDescent="0.3">
      <c r="A4" t="s">
        <v>8</v>
      </c>
      <c r="B4" s="4">
        <v>15</v>
      </c>
      <c r="C4" s="3"/>
      <c r="D4" s="3">
        <f>IFERROR(VLOOKUP(A4,'[1]Annual Leave'!$B$2:$F$129,5,FALSE),0)</f>
        <v>-53.5</v>
      </c>
      <c r="E4" s="3">
        <v>30</v>
      </c>
      <c r="F4" s="3">
        <f t="shared" si="0"/>
        <v>4</v>
      </c>
      <c r="G4" s="4">
        <v>26</v>
      </c>
      <c r="H4" s="5">
        <v>3</v>
      </c>
      <c r="I4" s="3">
        <f t="shared" si="1"/>
        <v>0</v>
      </c>
      <c r="J4" s="4">
        <v>3</v>
      </c>
      <c r="K4" s="1">
        <v>45536</v>
      </c>
      <c r="L4" s="1">
        <v>46600</v>
      </c>
    </row>
    <row r="5" spans="1:12" x14ac:dyDescent="0.3">
      <c r="A5" t="s">
        <v>9</v>
      </c>
      <c r="B5" s="4">
        <v>20</v>
      </c>
      <c r="C5" s="3"/>
      <c r="D5" s="3">
        <f>IFERROR(VLOOKUP(A5,'[1]Annual Leave'!$B$2:$F$129,5,FALSE),0)</f>
        <v>-0.83333333333333104</v>
      </c>
      <c r="E5" s="3">
        <v>30</v>
      </c>
      <c r="F5" s="3">
        <f t="shared" si="0"/>
        <v>0</v>
      </c>
      <c r="G5" s="4">
        <v>30</v>
      </c>
      <c r="H5" s="5">
        <v>3</v>
      </c>
      <c r="I5" s="3">
        <f t="shared" si="1"/>
        <v>0</v>
      </c>
      <c r="J5" s="4">
        <v>3</v>
      </c>
      <c r="K5" s="1">
        <v>45778</v>
      </c>
      <c r="L5" s="1">
        <v>45748</v>
      </c>
    </row>
    <row r="6" spans="1:12" x14ac:dyDescent="0.3">
      <c r="A6" t="s">
        <v>10</v>
      </c>
      <c r="B6" s="4">
        <v>20</v>
      </c>
      <c r="C6" s="3"/>
      <c r="D6" s="3">
        <f>IFERROR(VLOOKUP(A6,'[1]Annual Leave'!$B$2:$F$129,5,FALSE),0)</f>
        <v>9.6666666666666625</v>
      </c>
      <c r="E6" s="3">
        <v>30</v>
      </c>
      <c r="F6" s="3">
        <f t="shared" si="0"/>
        <v>2.5</v>
      </c>
      <c r="G6" s="4">
        <v>27.5</v>
      </c>
      <c r="H6" s="5">
        <v>3</v>
      </c>
      <c r="I6" s="3">
        <f t="shared" si="1"/>
        <v>0</v>
      </c>
      <c r="J6" s="4">
        <v>3</v>
      </c>
      <c r="K6" s="1">
        <v>45017</v>
      </c>
      <c r="L6" s="1">
        <v>46082</v>
      </c>
    </row>
    <row r="7" spans="1:12" x14ac:dyDescent="0.3">
      <c r="A7" t="s">
        <v>11</v>
      </c>
      <c r="B7" s="4">
        <v>20</v>
      </c>
      <c r="C7" s="3"/>
      <c r="D7" s="3">
        <f>IFERROR(VLOOKUP(A7,'[1]Annual Leave'!$B$2:$F$129,5,FALSE),0)</f>
        <v>5.6663333333333252</v>
      </c>
      <c r="E7" s="3">
        <v>30</v>
      </c>
      <c r="F7" s="3">
        <f t="shared" si="0"/>
        <v>8</v>
      </c>
      <c r="G7" s="4">
        <v>22</v>
      </c>
      <c r="H7" s="5">
        <v>3</v>
      </c>
      <c r="I7" s="3">
        <f t="shared" si="1"/>
        <v>0</v>
      </c>
      <c r="J7" s="4">
        <v>3</v>
      </c>
      <c r="K7" s="1">
        <v>45078</v>
      </c>
      <c r="L7" s="1">
        <v>46143</v>
      </c>
    </row>
    <row r="8" spans="1:12" x14ac:dyDescent="0.3">
      <c r="A8" t="s">
        <v>12</v>
      </c>
      <c r="B8" s="4">
        <v>20</v>
      </c>
      <c r="C8" s="3"/>
      <c r="D8" s="3">
        <f>IFERROR(VLOOKUP(A8,'[1]Annual Leave'!$B$2:$F$129,5,FALSE),0)</f>
        <v>8.0003333333333124</v>
      </c>
      <c r="E8" s="3">
        <v>30</v>
      </c>
      <c r="F8" s="3">
        <f t="shared" si="0"/>
        <v>3.5</v>
      </c>
      <c r="G8" s="4">
        <v>26.5</v>
      </c>
      <c r="H8" s="5">
        <v>3</v>
      </c>
      <c r="I8" s="3">
        <f t="shared" si="1"/>
        <v>0</v>
      </c>
      <c r="J8" s="4">
        <v>3</v>
      </c>
      <c r="K8" s="1">
        <v>45689</v>
      </c>
      <c r="L8" s="1">
        <v>46753</v>
      </c>
    </row>
    <row r="9" spans="1:12" x14ac:dyDescent="0.3">
      <c r="A9" t="s">
        <v>13</v>
      </c>
      <c r="B9" s="4">
        <v>20</v>
      </c>
      <c r="C9" s="3"/>
      <c r="D9" s="3">
        <f>IFERROR(VLOOKUP(A9,'[1]Annual Leave'!$B$2:$F$129,5,FALSE),0)</f>
        <v>3.1666666666666767</v>
      </c>
      <c r="E9" s="3">
        <v>30</v>
      </c>
      <c r="F9" s="3">
        <f t="shared" si="0"/>
        <v>6</v>
      </c>
      <c r="G9" s="4">
        <v>24</v>
      </c>
      <c r="H9" s="5">
        <v>3</v>
      </c>
      <c r="I9" s="3">
        <f t="shared" si="1"/>
        <v>1</v>
      </c>
      <c r="J9" s="4">
        <v>2</v>
      </c>
      <c r="K9" s="1">
        <v>45383</v>
      </c>
      <c r="L9" s="1">
        <v>46447</v>
      </c>
    </row>
    <row r="10" spans="1:12" x14ac:dyDescent="0.3">
      <c r="A10" t="s">
        <v>14</v>
      </c>
      <c r="B10" s="4">
        <v>20</v>
      </c>
      <c r="C10" s="3"/>
      <c r="D10" s="3">
        <f>IFERROR(VLOOKUP(A10,'[1]Annual Leave'!$B$2:$F$129,5,FALSE),0)</f>
        <v>1.0413333333333321</v>
      </c>
      <c r="E10" s="3">
        <v>30</v>
      </c>
      <c r="F10" s="3">
        <f t="shared" si="0"/>
        <v>17.25</v>
      </c>
      <c r="G10" s="4">
        <v>12.75</v>
      </c>
      <c r="H10" s="5">
        <v>3</v>
      </c>
      <c r="I10" s="3">
        <f t="shared" si="1"/>
        <v>0</v>
      </c>
      <c r="J10" s="4">
        <v>3</v>
      </c>
      <c r="K10" s="1">
        <v>45689</v>
      </c>
      <c r="L10" s="1">
        <v>46753</v>
      </c>
    </row>
    <row r="11" spans="1:12" x14ac:dyDescent="0.3">
      <c r="A11" t="s">
        <v>15</v>
      </c>
      <c r="B11" s="4">
        <v>20</v>
      </c>
      <c r="C11" s="3"/>
      <c r="D11" s="3">
        <f>IFERROR(VLOOKUP(A11,'[1]Annual Leave'!$B$2:$F$129,5,FALSE),0)</f>
        <v>-3.0833333333333259</v>
      </c>
      <c r="E11" s="3">
        <v>30</v>
      </c>
      <c r="F11" s="3">
        <f t="shared" si="0"/>
        <v>0</v>
      </c>
      <c r="G11" s="4">
        <v>30</v>
      </c>
      <c r="H11" s="5">
        <v>3</v>
      </c>
      <c r="I11" s="3">
        <f t="shared" si="1"/>
        <v>0</v>
      </c>
      <c r="J11" s="4">
        <v>3</v>
      </c>
      <c r="K11" s="1">
        <v>45839</v>
      </c>
      <c r="L11" s="1">
        <v>46905</v>
      </c>
    </row>
    <row r="12" spans="1:12" x14ac:dyDescent="0.3">
      <c r="A12" t="s">
        <v>16</v>
      </c>
      <c r="B12" s="4">
        <v>20</v>
      </c>
      <c r="C12" s="3"/>
      <c r="D12" s="3">
        <f>IFERROR(VLOOKUP(A12,'[1]Annual Leave'!$B$2:$F$129,5,FALSE),0)</f>
        <v>16.666666666666657</v>
      </c>
      <c r="E12" s="3">
        <v>30</v>
      </c>
      <c r="F12" s="3">
        <f t="shared" si="0"/>
        <v>0</v>
      </c>
      <c r="G12" s="4">
        <v>30</v>
      </c>
      <c r="H12" s="5">
        <v>3</v>
      </c>
      <c r="I12" s="3">
        <f t="shared" si="1"/>
        <v>0</v>
      </c>
      <c r="J12" s="4">
        <v>3</v>
      </c>
      <c r="K12" s="1">
        <v>45261</v>
      </c>
      <c r="L12" s="1">
        <v>46327</v>
      </c>
    </row>
    <row r="13" spans="1:12" x14ac:dyDescent="0.3">
      <c r="A13" t="s">
        <v>17</v>
      </c>
      <c r="B13" s="4">
        <v>20</v>
      </c>
      <c r="C13" s="3"/>
      <c r="D13" s="3">
        <f>IFERROR(VLOOKUP(A13,'[1]Annual Leave'!$B$2:$F$129,5,FALSE),0)</f>
        <v>1.8333333333333341</v>
      </c>
      <c r="E13" s="3">
        <v>30</v>
      </c>
      <c r="F13" s="3">
        <f t="shared" si="0"/>
        <v>15.5</v>
      </c>
      <c r="G13" s="4">
        <v>14.5</v>
      </c>
      <c r="H13" s="5">
        <v>3</v>
      </c>
      <c r="I13" s="3">
        <f t="shared" si="1"/>
        <v>0.25</v>
      </c>
      <c r="J13" s="4">
        <v>2.75</v>
      </c>
      <c r="K13" s="1">
        <v>45047</v>
      </c>
      <c r="L13" s="1">
        <v>46113</v>
      </c>
    </row>
    <row r="14" spans="1:12" x14ac:dyDescent="0.3">
      <c r="A14" t="s">
        <v>18</v>
      </c>
      <c r="B14" s="4">
        <v>20</v>
      </c>
      <c r="C14" s="3"/>
      <c r="D14" s="3">
        <f>IFERROR(VLOOKUP(A14,'[1]Annual Leave'!$B$2:$F$129,5,FALSE),0)</f>
        <v>15.333299999999992</v>
      </c>
      <c r="E14" s="3">
        <v>30</v>
      </c>
      <c r="F14" s="3">
        <f t="shared" si="0"/>
        <v>2</v>
      </c>
      <c r="G14" s="4">
        <v>28</v>
      </c>
      <c r="H14" s="5">
        <v>3</v>
      </c>
      <c r="I14" s="3">
        <f t="shared" si="1"/>
        <v>0</v>
      </c>
      <c r="J14" s="4">
        <v>3</v>
      </c>
      <c r="K14" s="1">
        <v>45962</v>
      </c>
      <c r="L14" s="1">
        <v>47027</v>
      </c>
    </row>
    <row r="15" spans="1:12" x14ac:dyDescent="0.3">
      <c r="A15" t="s">
        <v>19</v>
      </c>
      <c r="B15" s="4">
        <v>20</v>
      </c>
      <c r="C15" s="3"/>
      <c r="D15" s="3">
        <f>IFERROR(VLOOKUP(A15,'[1]Annual Leave'!$B$2:$F$129,5,FALSE),0)</f>
        <v>7.3329999999999655</v>
      </c>
      <c r="E15" s="3">
        <v>30</v>
      </c>
      <c r="F15" s="3">
        <f t="shared" si="0"/>
        <v>1</v>
      </c>
      <c r="G15" s="4">
        <v>29</v>
      </c>
      <c r="H15" s="5">
        <v>3</v>
      </c>
      <c r="I15" s="3">
        <f t="shared" si="1"/>
        <v>-1</v>
      </c>
      <c r="J15" s="4">
        <v>4</v>
      </c>
      <c r="K15" s="1">
        <v>46082</v>
      </c>
      <c r="L15" s="1">
        <v>47150</v>
      </c>
    </row>
    <row r="16" spans="1:12" x14ac:dyDescent="0.3">
      <c r="A16" t="s">
        <v>20</v>
      </c>
      <c r="B16" s="4">
        <v>20</v>
      </c>
      <c r="C16" s="3"/>
      <c r="D16" s="3">
        <f>IFERROR(VLOOKUP(A16,'[1]Annual Leave'!$B$2:$F$129,5,FALSE),0)</f>
        <v>7.1663333333333483</v>
      </c>
      <c r="E16" s="3">
        <v>30</v>
      </c>
      <c r="F16" s="3">
        <f t="shared" si="0"/>
        <v>28.5</v>
      </c>
      <c r="G16" s="4">
        <v>1.5</v>
      </c>
      <c r="H16" s="5">
        <v>3</v>
      </c>
      <c r="I16" s="3">
        <f t="shared" si="1"/>
        <v>0</v>
      </c>
      <c r="J16" s="4">
        <v>3</v>
      </c>
      <c r="K16" s="1">
        <v>45139</v>
      </c>
      <c r="L16" s="1">
        <v>46204</v>
      </c>
    </row>
    <row r="17" spans="1:12" x14ac:dyDescent="0.3">
      <c r="A17" t="s">
        <v>21</v>
      </c>
      <c r="B17" s="4">
        <v>20</v>
      </c>
      <c r="C17" s="3"/>
      <c r="D17" s="3">
        <f>IFERROR(VLOOKUP(A17,'[1]Annual Leave'!$B$2:$F$129,5,FALSE),0)</f>
        <v>4.666999999999998</v>
      </c>
      <c r="E17" s="3">
        <v>30</v>
      </c>
      <c r="F17" s="3">
        <f t="shared" si="0"/>
        <v>13.5</v>
      </c>
      <c r="G17" s="4">
        <v>16.5</v>
      </c>
      <c r="H17" s="5">
        <v>3</v>
      </c>
      <c r="I17" s="3">
        <f t="shared" si="1"/>
        <v>0</v>
      </c>
      <c r="J17" s="4">
        <v>3</v>
      </c>
      <c r="K17" s="1">
        <v>45292</v>
      </c>
      <c r="L17" s="1">
        <v>46357</v>
      </c>
    </row>
    <row r="18" spans="1:12" x14ac:dyDescent="0.3">
      <c r="A18" t="s">
        <v>22</v>
      </c>
      <c r="B18" s="4">
        <v>20</v>
      </c>
      <c r="C18" s="3"/>
      <c r="D18" s="3">
        <f>IFERROR(VLOOKUP(A18,'[1]Annual Leave'!$B$2:$F$129,5,FALSE),0)</f>
        <v>6.1666666666666687</v>
      </c>
      <c r="E18" s="3">
        <v>30</v>
      </c>
      <c r="F18" s="3">
        <f t="shared" si="0"/>
        <v>6.5</v>
      </c>
      <c r="G18" s="4">
        <v>23.5</v>
      </c>
      <c r="H18" s="5">
        <v>3</v>
      </c>
      <c r="I18" s="3">
        <f t="shared" si="1"/>
        <v>0</v>
      </c>
      <c r="J18" s="4">
        <v>3</v>
      </c>
      <c r="K18" s="1">
        <v>45323</v>
      </c>
      <c r="L18" s="1">
        <v>46419</v>
      </c>
    </row>
    <row r="19" spans="1:12" x14ac:dyDescent="0.3">
      <c r="A19" t="s">
        <v>23</v>
      </c>
      <c r="B19" s="4">
        <v>20</v>
      </c>
      <c r="C19" s="3"/>
      <c r="D19" s="3">
        <f>IFERROR(VLOOKUP(A19,'[1]Annual Leave'!$B$2:$F$129,5,FALSE),0)</f>
        <v>-1.0833333333333226</v>
      </c>
      <c r="E19" s="3">
        <v>30</v>
      </c>
      <c r="F19" s="3">
        <f t="shared" si="0"/>
        <v>6.5</v>
      </c>
      <c r="G19" s="4">
        <v>23.5</v>
      </c>
      <c r="H19" s="5">
        <v>3</v>
      </c>
      <c r="I19" s="3">
        <f t="shared" si="1"/>
        <v>3</v>
      </c>
      <c r="J19" s="4">
        <v>0</v>
      </c>
      <c r="K19" s="1">
        <v>45383</v>
      </c>
      <c r="L19" s="1">
        <v>46447</v>
      </c>
    </row>
    <row r="20" spans="1:12" x14ac:dyDescent="0.3">
      <c r="A20" t="s">
        <v>24</v>
      </c>
      <c r="B20" s="4">
        <v>20</v>
      </c>
      <c r="C20" s="3"/>
      <c r="D20" s="3">
        <f>IFERROR(VLOOKUP(A20,'[1]Annual Leave'!$B$2:$F$129,5,FALSE),0)</f>
        <v>7.2496666666666671</v>
      </c>
      <c r="E20" s="3">
        <v>30</v>
      </c>
      <c r="F20" s="3">
        <f t="shared" si="0"/>
        <v>11</v>
      </c>
      <c r="G20" s="4">
        <v>19</v>
      </c>
      <c r="H20" s="5">
        <v>3</v>
      </c>
      <c r="I20" s="3">
        <f t="shared" si="1"/>
        <v>3</v>
      </c>
      <c r="J20" s="4">
        <v>0</v>
      </c>
      <c r="K20" s="1">
        <v>45809</v>
      </c>
      <c r="L20" s="1">
        <v>46874</v>
      </c>
    </row>
    <row r="21" spans="1:12" x14ac:dyDescent="0.3">
      <c r="A21" t="s">
        <v>25</v>
      </c>
      <c r="B21" s="4">
        <v>20</v>
      </c>
      <c r="C21" s="3"/>
      <c r="D21" s="3">
        <f>IFERROR(VLOOKUP(A21,'[1]Annual Leave'!$B$2:$F$129,5,FALSE),0)</f>
        <v>4.6669999999999856</v>
      </c>
      <c r="E21" s="3">
        <v>30</v>
      </c>
      <c r="F21" s="3">
        <f t="shared" si="0"/>
        <v>5</v>
      </c>
      <c r="G21" s="4">
        <v>25</v>
      </c>
      <c r="H21" s="5">
        <v>3</v>
      </c>
      <c r="I21" s="3">
        <f t="shared" si="1"/>
        <v>0</v>
      </c>
      <c r="J21" s="4">
        <v>3</v>
      </c>
      <c r="K21" s="1">
        <v>45170</v>
      </c>
      <c r="L21" s="1">
        <v>46235</v>
      </c>
    </row>
    <row r="22" spans="1:12" x14ac:dyDescent="0.3">
      <c r="A22" t="s">
        <v>26</v>
      </c>
      <c r="B22" s="4">
        <v>20</v>
      </c>
      <c r="C22" s="3"/>
      <c r="D22" s="3">
        <f>IFERROR(VLOOKUP(A22,'[1]Annual Leave'!$B$2:$F$129,5,FALSE),0)</f>
        <v>15.666999999999996</v>
      </c>
      <c r="E22" s="3">
        <v>30</v>
      </c>
      <c r="F22" s="3">
        <f t="shared" si="0"/>
        <v>8</v>
      </c>
      <c r="G22" s="4">
        <v>22</v>
      </c>
      <c r="H22" s="5">
        <v>3</v>
      </c>
      <c r="I22" s="3">
        <f t="shared" si="1"/>
        <v>0</v>
      </c>
      <c r="J22" s="4">
        <v>3</v>
      </c>
      <c r="K22" s="1">
        <v>45901</v>
      </c>
      <c r="L22" s="1">
        <v>46966</v>
      </c>
    </row>
    <row r="23" spans="1:12" x14ac:dyDescent="0.3">
      <c r="A23" t="s">
        <v>27</v>
      </c>
      <c r="B23" s="4">
        <v>20</v>
      </c>
      <c r="C23" s="3"/>
      <c r="D23" s="3">
        <f>IFERROR(VLOOKUP(A23,'[1]Annual Leave'!$B$2:$F$129,5,FALSE),0)</f>
        <v>4.666666666666667</v>
      </c>
      <c r="E23" s="3">
        <v>30</v>
      </c>
      <c r="F23" s="3">
        <f t="shared" si="0"/>
        <v>2</v>
      </c>
      <c r="G23" s="4">
        <v>28</v>
      </c>
      <c r="H23" s="5">
        <v>3</v>
      </c>
      <c r="I23" s="3">
        <f t="shared" si="1"/>
        <v>0</v>
      </c>
      <c r="J23" s="4">
        <v>3</v>
      </c>
      <c r="K23" s="1">
        <v>45931</v>
      </c>
      <c r="L23" s="1">
        <v>46997</v>
      </c>
    </row>
    <row r="24" spans="1:12" x14ac:dyDescent="0.3">
      <c r="A24" t="s">
        <v>28</v>
      </c>
      <c r="B24" s="4">
        <v>20</v>
      </c>
      <c r="C24" s="3"/>
      <c r="D24" s="3">
        <f>IFERROR(VLOOKUP(A24,'[1]Annual Leave'!$B$2:$F$129,5,FALSE),0)</f>
        <v>0.66666666666666652</v>
      </c>
      <c r="E24" s="3">
        <v>30</v>
      </c>
      <c r="F24" s="3">
        <f t="shared" si="0"/>
        <v>3.5</v>
      </c>
      <c r="G24" s="4">
        <v>26.5</v>
      </c>
      <c r="H24" s="5">
        <v>3</v>
      </c>
      <c r="I24" s="3">
        <f t="shared" si="1"/>
        <v>0</v>
      </c>
      <c r="J24" s="4">
        <v>3</v>
      </c>
      <c r="K24" s="1">
        <v>45108</v>
      </c>
      <c r="L24" s="1">
        <v>46174</v>
      </c>
    </row>
    <row r="25" spans="1:12" x14ac:dyDescent="0.3">
      <c r="A25" t="s">
        <v>29</v>
      </c>
      <c r="B25" s="4">
        <v>15</v>
      </c>
      <c r="C25" s="3"/>
      <c r="D25" s="3">
        <f>IFERROR(VLOOKUP(A25,'[1]Annual Leave'!$B$2:$F$129,5,FALSE),0)</f>
        <v>41.5</v>
      </c>
      <c r="E25" s="3">
        <v>30</v>
      </c>
      <c r="F25" s="3">
        <f t="shared" si="0"/>
        <v>0</v>
      </c>
      <c r="G25" s="4">
        <v>30</v>
      </c>
      <c r="H25" s="5">
        <v>3</v>
      </c>
      <c r="I25" s="3">
        <f t="shared" si="1"/>
        <v>0</v>
      </c>
      <c r="J25" s="4">
        <v>3</v>
      </c>
      <c r="K25" s="1">
        <v>45139</v>
      </c>
      <c r="L25" s="1">
        <v>46204</v>
      </c>
    </row>
    <row r="26" spans="1:12" x14ac:dyDescent="0.3">
      <c r="A26" t="s">
        <v>30</v>
      </c>
      <c r="B26" s="4">
        <v>20</v>
      </c>
      <c r="C26" s="3"/>
      <c r="D26" s="3">
        <f>IFERROR(VLOOKUP(A26,'[1]Annual Leave'!$B$2:$F$129,5,FALSE),0)</f>
        <v>15.58333333333333</v>
      </c>
      <c r="E26" s="3">
        <v>30</v>
      </c>
      <c r="F26" s="3">
        <f t="shared" si="0"/>
        <v>1</v>
      </c>
      <c r="G26" s="4">
        <v>29</v>
      </c>
      <c r="H26" s="5">
        <v>3</v>
      </c>
      <c r="I26" s="3">
        <f t="shared" si="1"/>
        <v>0</v>
      </c>
      <c r="J26" s="4">
        <v>3</v>
      </c>
      <c r="K26" s="1">
        <v>45566</v>
      </c>
      <c r="L26" s="1">
        <v>46600</v>
      </c>
    </row>
    <row r="27" spans="1:12" x14ac:dyDescent="0.3">
      <c r="A27" t="s">
        <v>31</v>
      </c>
      <c r="B27" s="4">
        <v>19</v>
      </c>
      <c r="C27" s="3"/>
      <c r="D27" s="3">
        <f>IFERROR(VLOOKUP(A27,'[1]Annual Leave'!$B$2:$F$129,5,FALSE),0)</f>
        <v>7.2499999999999973</v>
      </c>
      <c r="E27" s="3">
        <v>30</v>
      </c>
      <c r="F27" s="3">
        <f t="shared" si="0"/>
        <v>3</v>
      </c>
      <c r="G27" s="4">
        <v>27</v>
      </c>
      <c r="H27" s="5">
        <v>3</v>
      </c>
      <c r="I27" s="3">
        <f t="shared" si="1"/>
        <v>0</v>
      </c>
      <c r="J27" s="4">
        <v>3</v>
      </c>
      <c r="K27" s="1">
        <v>45689</v>
      </c>
      <c r="L27" s="1">
        <v>46753</v>
      </c>
    </row>
    <row r="28" spans="1:12" x14ac:dyDescent="0.3">
      <c r="A28" t="s">
        <v>32</v>
      </c>
      <c r="B28" s="4">
        <v>19</v>
      </c>
      <c r="C28" s="3"/>
      <c r="D28" s="3">
        <f>IFERROR(VLOOKUP(A28,'[1]Annual Leave'!$B$2:$F$129,5,FALSE),0)</f>
        <v>15.083333333333334</v>
      </c>
      <c r="E28" s="3">
        <v>30</v>
      </c>
      <c r="F28" s="3">
        <f t="shared" si="0"/>
        <v>0</v>
      </c>
      <c r="G28" s="4">
        <v>30</v>
      </c>
      <c r="H28" s="5">
        <v>3</v>
      </c>
      <c r="I28" s="3">
        <f t="shared" si="1"/>
        <v>0</v>
      </c>
      <c r="J28" s="4">
        <v>3</v>
      </c>
      <c r="K28" s="1">
        <v>45748</v>
      </c>
      <c r="L28" s="1">
        <v>46813</v>
      </c>
    </row>
    <row r="29" spans="1:12" x14ac:dyDescent="0.3">
      <c r="A29" t="s">
        <v>33</v>
      </c>
      <c r="B29" s="4">
        <v>15</v>
      </c>
      <c r="C29" s="3"/>
      <c r="D29" s="3">
        <f>IFERROR(VLOOKUP(A29,'[1]Annual Leave'!$B$2:$F$129,5,FALSE),0)</f>
        <v>12.49966666666667</v>
      </c>
      <c r="E29" s="3">
        <v>30</v>
      </c>
      <c r="F29" s="3">
        <f t="shared" si="0"/>
        <v>0</v>
      </c>
      <c r="G29" s="4">
        <v>30</v>
      </c>
      <c r="H29" s="5">
        <v>3</v>
      </c>
      <c r="I29" s="3">
        <f t="shared" si="1"/>
        <v>0</v>
      </c>
      <c r="J29" s="4">
        <v>3</v>
      </c>
      <c r="K29" s="1">
        <v>45839</v>
      </c>
      <c r="L29" s="1">
        <v>46905</v>
      </c>
    </row>
    <row r="30" spans="1:12" x14ac:dyDescent="0.3">
      <c r="A30" t="s">
        <v>34</v>
      </c>
      <c r="B30" s="4">
        <v>19</v>
      </c>
      <c r="C30" s="3"/>
      <c r="D30" s="3">
        <f>IFERROR(VLOOKUP(A30,'[1]Annual Leave'!$B$2:$F$129,5,FALSE),0)</f>
        <v>4.750238095238096</v>
      </c>
      <c r="E30" s="3">
        <v>30</v>
      </c>
      <c r="F30" s="3">
        <f t="shared" si="0"/>
        <v>9.5</v>
      </c>
      <c r="G30" s="4">
        <v>20.5</v>
      </c>
      <c r="H30" s="5">
        <v>3</v>
      </c>
      <c r="I30" s="3">
        <f t="shared" si="1"/>
        <v>1</v>
      </c>
      <c r="J30" s="4">
        <v>2</v>
      </c>
      <c r="K30" s="1">
        <v>45931</v>
      </c>
      <c r="L30" s="1">
        <v>46997</v>
      </c>
    </row>
    <row r="31" spans="1:12" x14ac:dyDescent="0.3">
      <c r="A31" t="s">
        <v>35</v>
      </c>
      <c r="B31" s="4">
        <v>15</v>
      </c>
      <c r="C31" s="3"/>
      <c r="D31" s="3">
        <f>IFERROR(VLOOKUP(A31,'[1]Annual Leave'!$B$2:$F$129,5,FALSE),0)</f>
        <v>12.5</v>
      </c>
      <c r="E31" s="3">
        <v>30</v>
      </c>
      <c r="F31" s="3">
        <f t="shared" si="0"/>
        <v>0</v>
      </c>
      <c r="G31" s="4">
        <v>30</v>
      </c>
      <c r="H31" s="5">
        <v>3</v>
      </c>
      <c r="I31" s="3">
        <f t="shared" si="1"/>
        <v>0</v>
      </c>
      <c r="J31" s="4">
        <v>3</v>
      </c>
      <c r="K31" s="1">
        <v>45962</v>
      </c>
      <c r="L31" s="1">
        <v>47027</v>
      </c>
    </row>
    <row r="32" spans="1:12" x14ac:dyDescent="0.3">
      <c r="A32" t="s">
        <v>36</v>
      </c>
      <c r="B32" s="4">
        <v>18</v>
      </c>
      <c r="C32" s="3"/>
      <c r="D32" s="3">
        <f>IFERROR(VLOOKUP(A32,'[1]Annual Leave'!$B$2:$F$129,5,FALSE),0)</f>
        <v>16.417000000000002</v>
      </c>
      <c r="E32" s="3">
        <v>30</v>
      </c>
      <c r="F32" s="3">
        <f t="shared" si="0"/>
        <v>0</v>
      </c>
      <c r="G32" s="4">
        <v>30</v>
      </c>
      <c r="H32" s="5">
        <v>3</v>
      </c>
      <c r="I32" s="3">
        <f t="shared" si="1"/>
        <v>0</v>
      </c>
      <c r="J32" s="4">
        <v>3</v>
      </c>
      <c r="K32" s="1">
        <v>46054</v>
      </c>
      <c r="L32" s="1">
        <v>47119</v>
      </c>
    </row>
    <row r="33" spans="1:12" x14ac:dyDescent="0.3">
      <c r="A33" t="s">
        <v>37</v>
      </c>
      <c r="B33" s="4">
        <v>18</v>
      </c>
      <c r="C33" s="3"/>
      <c r="D33" s="3">
        <f>IFERROR(VLOOKUP(A33,'[1]Annual Leave'!$B$2:$F$129,5,FALSE),0)</f>
        <v>6.6670000000000025</v>
      </c>
      <c r="E33" s="3">
        <v>30</v>
      </c>
      <c r="F33" s="3">
        <f t="shared" si="0"/>
        <v>17</v>
      </c>
      <c r="G33" s="4">
        <v>13</v>
      </c>
      <c r="H33" s="5">
        <v>3</v>
      </c>
      <c r="I33" s="3">
        <f t="shared" si="1"/>
        <v>0</v>
      </c>
      <c r="J33" s="4">
        <v>3</v>
      </c>
      <c r="K33" s="1">
        <v>45047</v>
      </c>
      <c r="L33" s="1">
        <v>46113</v>
      </c>
    </row>
    <row r="34" spans="1:12" x14ac:dyDescent="0.3">
      <c r="A34" t="s">
        <v>38</v>
      </c>
      <c r="B34" s="4">
        <v>18</v>
      </c>
      <c r="C34" s="3"/>
      <c r="D34" s="3">
        <f>IFERROR(VLOOKUP(A34,'[1]Annual Leave'!$B$2:$F$129,5,FALSE),0)</f>
        <v>2.5</v>
      </c>
      <c r="E34" s="3">
        <v>30</v>
      </c>
      <c r="F34" s="3">
        <f t="shared" si="0"/>
        <v>4</v>
      </c>
      <c r="G34" s="4">
        <v>26</v>
      </c>
      <c r="H34" s="5">
        <v>3</v>
      </c>
      <c r="I34" s="3">
        <f t="shared" si="1"/>
        <v>3</v>
      </c>
      <c r="J34" s="4">
        <v>0</v>
      </c>
      <c r="K34" s="1">
        <v>45047</v>
      </c>
      <c r="L34" s="1">
        <v>46113</v>
      </c>
    </row>
    <row r="35" spans="1:12" x14ac:dyDescent="0.3">
      <c r="A35" t="s">
        <v>39</v>
      </c>
      <c r="B35" s="4">
        <v>18</v>
      </c>
      <c r="C35" s="3"/>
      <c r="D35" s="3">
        <f>IFERROR(VLOOKUP(A35,'[1]Annual Leave'!$B$2:$F$129,5,FALSE),0)</f>
        <v>18.166606060606064</v>
      </c>
      <c r="E35" s="3">
        <v>30</v>
      </c>
      <c r="F35" s="3">
        <f t="shared" si="0"/>
        <v>0</v>
      </c>
      <c r="G35" s="4">
        <v>30</v>
      </c>
      <c r="H35" s="5">
        <v>3</v>
      </c>
      <c r="I35" s="3">
        <f t="shared" si="1"/>
        <v>0</v>
      </c>
      <c r="J35" s="4">
        <v>3</v>
      </c>
      <c r="K35" s="1">
        <v>45078</v>
      </c>
      <c r="L35" s="1">
        <v>46143</v>
      </c>
    </row>
    <row r="36" spans="1:12" x14ac:dyDescent="0.3">
      <c r="A36" t="s">
        <v>40</v>
      </c>
      <c r="B36" s="4">
        <v>18</v>
      </c>
      <c r="C36" s="3"/>
      <c r="D36" s="3">
        <f>IFERROR(VLOOKUP(A36,'[1]Annual Leave'!$B$2:$F$129,5,FALSE),0)</f>
        <v>8.3333333333333304</v>
      </c>
      <c r="E36" s="3">
        <v>30</v>
      </c>
      <c r="F36" s="3">
        <f t="shared" si="0"/>
        <v>5</v>
      </c>
      <c r="G36" s="4">
        <v>25</v>
      </c>
      <c r="H36" s="5">
        <v>3</v>
      </c>
      <c r="I36" s="3">
        <f t="shared" si="1"/>
        <v>2</v>
      </c>
      <c r="J36" s="4">
        <v>1</v>
      </c>
      <c r="K36" s="1">
        <v>45108</v>
      </c>
      <c r="L36" s="1">
        <v>46174</v>
      </c>
    </row>
    <row r="37" spans="1:12" x14ac:dyDescent="0.3">
      <c r="A37" t="s">
        <v>41</v>
      </c>
      <c r="B37" s="4">
        <v>18</v>
      </c>
      <c r="C37" s="3"/>
      <c r="D37" s="3">
        <f>IFERROR(VLOOKUP(A37,'[1]Annual Leave'!$B$2:$F$129,5,FALSE),0)</f>
        <v>2.7142857142857162</v>
      </c>
      <c r="E37" s="3">
        <v>30</v>
      </c>
      <c r="F37" s="3">
        <f t="shared" si="0"/>
        <v>9</v>
      </c>
      <c r="G37" s="4">
        <v>21</v>
      </c>
      <c r="H37" s="5">
        <v>3</v>
      </c>
      <c r="I37" s="3">
        <f t="shared" si="1"/>
        <v>0</v>
      </c>
      <c r="J37" s="4">
        <v>3</v>
      </c>
      <c r="K37" s="1">
        <v>45108</v>
      </c>
      <c r="L37" s="1">
        <v>46174</v>
      </c>
    </row>
    <row r="38" spans="1:12" x14ac:dyDescent="0.3">
      <c r="A38" t="s">
        <v>42</v>
      </c>
      <c r="B38" s="4">
        <v>21</v>
      </c>
      <c r="C38" s="3"/>
      <c r="D38" s="3">
        <f>IFERROR(VLOOKUP(A38,'[1]Annual Leave'!$B$2:$F$129,5,FALSE),0)</f>
        <v>11.5</v>
      </c>
      <c r="E38" s="3">
        <v>30</v>
      </c>
      <c r="F38" s="3">
        <f t="shared" si="0"/>
        <v>25</v>
      </c>
      <c r="G38" s="4">
        <v>5</v>
      </c>
      <c r="H38" s="5">
        <v>3</v>
      </c>
      <c r="I38" s="3">
        <f t="shared" si="1"/>
        <v>0</v>
      </c>
      <c r="J38" s="4">
        <v>3</v>
      </c>
      <c r="K38" s="1">
        <v>45139</v>
      </c>
      <c r="L38" s="1">
        <v>46204</v>
      </c>
    </row>
    <row r="39" spans="1:12" x14ac:dyDescent="0.3">
      <c r="A39" t="s">
        <v>43</v>
      </c>
      <c r="B39" s="4">
        <v>18</v>
      </c>
      <c r="C39" s="3"/>
      <c r="D39" s="3">
        <f>IFERROR(VLOOKUP(A39,'[1]Annual Leave'!$B$2:$F$129,5,FALSE),0)</f>
        <v>7.5829999999999966</v>
      </c>
      <c r="E39" s="3">
        <v>30</v>
      </c>
      <c r="F39" s="3">
        <f t="shared" si="0"/>
        <v>15</v>
      </c>
      <c r="G39" s="4">
        <v>15</v>
      </c>
      <c r="H39" s="5">
        <v>3</v>
      </c>
      <c r="I39" s="3">
        <f t="shared" si="1"/>
        <v>3</v>
      </c>
      <c r="J39" s="4">
        <v>0</v>
      </c>
      <c r="K39" s="1">
        <v>45139</v>
      </c>
      <c r="L39" s="1">
        <v>46204</v>
      </c>
    </row>
    <row r="40" spans="1:12" x14ac:dyDescent="0.3">
      <c r="A40" t="s">
        <v>44</v>
      </c>
      <c r="B40" s="4">
        <v>18</v>
      </c>
      <c r="C40" s="3"/>
      <c r="D40" s="3">
        <f>IFERROR(VLOOKUP(A40,'[1]Annual Leave'!$B$2:$F$129,5,FALSE),0)</f>
        <v>2.4166666666666643</v>
      </c>
      <c r="E40" s="3">
        <v>30</v>
      </c>
      <c r="F40" s="3">
        <f t="shared" si="0"/>
        <v>13</v>
      </c>
      <c r="G40" s="4">
        <v>17</v>
      </c>
      <c r="H40" s="5">
        <v>3</v>
      </c>
      <c r="I40" s="3">
        <f t="shared" si="1"/>
        <v>0</v>
      </c>
      <c r="J40" s="4">
        <v>3</v>
      </c>
      <c r="K40" s="1">
        <v>45200</v>
      </c>
      <c r="L40" s="1">
        <v>46266</v>
      </c>
    </row>
    <row r="41" spans="1:12" x14ac:dyDescent="0.3">
      <c r="A41" t="s">
        <v>45</v>
      </c>
      <c r="B41" s="4">
        <v>18</v>
      </c>
      <c r="C41" s="3"/>
      <c r="D41" s="3">
        <f>IFERROR(VLOOKUP(A41,'[1]Annual Leave'!$B$2:$F$129,5,FALSE),0)</f>
        <v>8.9166666666666643</v>
      </c>
      <c r="E41" s="3">
        <v>30</v>
      </c>
      <c r="F41" s="3">
        <f t="shared" si="0"/>
        <v>1</v>
      </c>
      <c r="G41" s="4">
        <v>29</v>
      </c>
      <c r="H41" s="5">
        <v>3</v>
      </c>
      <c r="I41" s="3">
        <f t="shared" si="1"/>
        <v>0</v>
      </c>
      <c r="J41" s="4">
        <v>3</v>
      </c>
      <c r="K41" s="1">
        <v>45200</v>
      </c>
      <c r="L41" s="1">
        <v>46266</v>
      </c>
    </row>
    <row r="42" spans="1:12" x14ac:dyDescent="0.3">
      <c r="A42" t="s">
        <v>46</v>
      </c>
      <c r="B42" s="4">
        <v>17</v>
      </c>
      <c r="C42" s="3"/>
      <c r="D42" s="3">
        <f>IFERROR(VLOOKUP(A42,'[1]Annual Leave'!$B$2:$F$129,5,FALSE),0)</f>
        <v>6.4997619047619066</v>
      </c>
      <c r="E42" s="3">
        <v>30</v>
      </c>
      <c r="F42" s="3">
        <f t="shared" si="0"/>
        <v>25.5</v>
      </c>
      <c r="G42" s="4">
        <v>4.5</v>
      </c>
      <c r="H42" s="5">
        <v>3</v>
      </c>
      <c r="I42" s="3">
        <f t="shared" si="1"/>
        <v>3</v>
      </c>
      <c r="J42" s="4">
        <v>0</v>
      </c>
      <c r="K42" s="1">
        <v>45352</v>
      </c>
      <c r="L42" s="1">
        <v>46419</v>
      </c>
    </row>
    <row r="43" spans="1:12" x14ac:dyDescent="0.3">
      <c r="A43" t="s">
        <v>47</v>
      </c>
      <c r="B43" s="4">
        <v>17</v>
      </c>
      <c r="C43" s="3"/>
      <c r="D43" s="3">
        <f>IFERROR(VLOOKUP(A43,'[1]Annual Leave'!$B$2:$F$129,5,FALSE),0)</f>
        <v>5.1785714285714262</v>
      </c>
      <c r="E43" s="3">
        <v>30</v>
      </c>
      <c r="F43" s="3">
        <f t="shared" si="0"/>
        <v>9.5</v>
      </c>
      <c r="G43" s="4">
        <v>20.5</v>
      </c>
      <c r="H43" s="5">
        <v>3</v>
      </c>
      <c r="I43" s="3">
        <f t="shared" si="1"/>
        <v>0</v>
      </c>
      <c r="J43" s="4">
        <v>3</v>
      </c>
      <c r="K43" s="1">
        <v>45352</v>
      </c>
      <c r="L43" s="1">
        <v>46419</v>
      </c>
    </row>
    <row r="44" spans="1:12" x14ac:dyDescent="0.3">
      <c r="A44" t="s">
        <v>48</v>
      </c>
      <c r="B44" s="4">
        <v>17</v>
      </c>
      <c r="C44" s="3"/>
      <c r="D44" s="3">
        <f>IFERROR(VLOOKUP(A44,'[1]Annual Leave'!$B$2:$F$129,5,FALSE),0)</f>
        <v>4.132575757575756</v>
      </c>
      <c r="E44" s="3">
        <v>30</v>
      </c>
      <c r="F44" s="3">
        <f t="shared" si="0"/>
        <v>6</v>
      </c>
      <c r="G44" s="4">
        <v>24</v>
      </c>
      <c r="H44" s="5">
        <v>3</v>
      </c>
      <c r="I44" s="3">
        <f t="shared" si="1"/>
        <v>0</v>
      </c>
      <c r="J44" s="4">
        <v>3</v>
      </c>
      <c r="K44" s="1">
        <v>45383</v>
      </c>
      <c r="L44" s="1">
        <v>46447</v>
      </c>
    </row>
    <row r="45" spans="1:12" x14ac:dyDescent="0.3">
      <c r="A45" t="s">
        <v>49</v>
      </c>
      <c r="B45" s="4">
        <v>17</v>
      </c>
      <c r="C45" s="3"/>
      <c r="D45" s="3">
        <f>IFERROR(VLOOKUP(A45,'[1]Annual Leave'!$B$2:$F$129,5,FALSE),0)</f>
        <v>3.6666666666666661</v>
      </c>
      <c r="E45" s="3">
        <v>30</v>
      </c>
      <c r="F45" s="3">
        <f t="shared" si="0"/>
        <v>3</v>
      </c>
      <c r="G45" s="4">
        <v>27</v>
      </c>
      <c r="H45" s="5">
        <v>3</v>
      </c>
      <c r="I45" s="3">
        <f t="shared" si="1"/>
        <v>0</v>
      </c>
      <c r="J45" s="4">
        <v>3</v>
      </c>
      <c r="K45" s="1">
        <v>45444</v>
      </c>
      <c r="L45" s="1">
        <v>46508</v>
      </c>
    </row>
    <row r="46" spans="1:12" x14ac:dyDescent="0.3">
      <c r="A46" t="s">
        <v>50</v>
      </c>
      <c r="B46" s="4">
        <v>17</v>
      </c>
      <c r="C46" s="3"/>
      <c r="D46" s="3">
        <f>IFERROR(VLOOKUP(A46,'[1]Annual Leave'!$B$2:$F$129,5,FALSE),0)</f>
        <v>4.6666666666666652</v>
      </c>
      <c r="E46" s="3">
        <v>30</v>
      </c>
      <c r="F46" s="3">
        <f t="shared" si="0"/>
        <v>0</v>
      </c>
      <c r="G46" s="4">
        <v>30</v>
      </c>
      <c r="H46" s="5">
        <v>3</v>
      </c>
      <c r="I46" s="3">
        <f t="shared" si="1"/>
        <v>0</v>
      </c>
      <c r="J46" s="4">
        <v>3</v>
      </c>
      <c r="K46" s="1">
        <v>45444</v>
      </c>
      <c r="L46" s="1">
        <v>46508</v>
      </c>
    </row>
    <row r="47" spans="1:12" x14ac:dyDescent="0.3">
      <c r="A47" t="s">
        <v>51</v>
      </c>
      <c r="B47" s="4">
        <v>17</v>
      </c>
      <c r="C47" s="3"/>
      <c r="D47" s="3">
        <f>IFERROR(VLOOKUP(A47,'[1]Annual Leave'!$B$2:$F$129,5,FALSE),0)</f>
        <v>3.6666666666666661</v>
      </c>
      <c r="E47" s="3">
        <v>30</v>
      </c>
      <c r="F47" s="3">
        <f t="shared" si="0"/>
        <v>1</v>
      </c>
      <c r="G47" s="4">
        <v>29</v>
      </c>
      <c r="H47" s="5">
        <v>3</v>
      </c>
      <c r="I47" s="3">
        <f t="shared" si="1"/>
        <v>0</v>
      </c>
      <c r="J47" s="4">
        <v>3</v>
      </c>
      <c r="K47" s="1">
        <v>45444</v>
      </c>
      <c r="L47" s="1">
        <v>46508</v>
      </c>
    </row>
    <row r="48" spans="1:12" x14ac:dyDescent="0.3">
      <c r="A48" t="s">
        <v>52</v>
      </c>
      <c r="B48" s="4">
        <v>17</v>
      </c>
      <c r="C48" s="3"/>
      <c r="D48" s="3">
        <f>IFERROR(VLOOKUP(A48,'[1]Annual Leave'!$B$2:$F$129,5,FALSE),0)</f>
        <v>2.6666666666666665</v>
      </c>
      <c r="E48" s="3">
        <v>30</v>
      </c>
      <c r="F48" s="3">
        <f t="shared" si="0"/>
        <v>0</v>
      </c>
      <c r="G48" s="4">
        <v>30</v>
      </c>
      <c r="H48" s="5">
        <v>3</v>
      </c>
      <c r="I48" s="3">
        <f t="shared" si="1"/>
        <v>0</v>
      </c>
      <c r="J48" s="4">
        <v>3</v>
      </c>
      <c r="K48" s="1">
        <v>45444</v>
      </c>
      <c r="L48" s="1">
        <v>46508</v>
      </c>
    </row>
    <row r="49" spans="1:12" x14ac:dyDescent="0.3">
      <c r="A49" t="s">
        <v>53</v>
      </c>
      <c r="B49" s="4">
        <v>17</v>
      </c>
      <c r="C49" s="3"/>
      <c r="D49" s="3">
        <f>IFERROR(VLOOKUP(A49,'[1]Annual Leave'!$B$2:$F$129,5,FALSE),0)</f>
        <v>6.7291666666666643</v>
      </c>
      <c r="E49" s="3">
        <v>30</v>
      </c>
      <c r="F49" s="3">
        <f t="shared" si="0"/>
        <v>2.5</v>
      </c>
      <c r="G49" s="4">
        <v>27.5</v>
      </c>
      <c r="H49" s="5">
        <v>3</v>
      </c>
      <c r="I49" s="3">
        <f t="shared" si="1"/>
        <v>0</v>
      </c>
      <c r="J49" s="4">
        <v>3</v>
      </c>
      <c r="K49" s="1">
        <v>45444</v>
      </c>
      <c r="L49" s="1">
        <v>46508</v>
      </c>
    </row>
    <row r="50" spans="1:12" x14ac:dyDescent="0.3">
      <c r="A50" t="s">
        <v>54</v>
      </c>
      <c r="B50" s="4">
        <v>17</v>
      </c>
      <c r="C50" s="3"/>
      <c r="D50" s="3">
        <f>IFERROR(VLOOKUP(A50,'[1]Annual Leave'!$B$2:$F$129,5,FALSE),0)</f>
        <v>4.6428571428571415</v>
      </c>
      <c r="E50" s="3">
        <v>30</v>
      </c>
      <c r="F50" s="3">
        <f t="shared" si="0"/>
        <v>0</v>
      </c>
      <c r="G50" s="4">
        <v>30</v>
      </c>
      <c r="H50" s="5">
        <v>3</v>
      </c>
      <c r="I50" s="3">
        <f t="shared" si="1"/>
        <v>0</v>
      </c>
      <c r="J50" s="4">
        <v>3</v>
      </c>
      <c r="K50" s="1">
        <v>45597</v>
      </c>
      <c r="L50" s="1">
        <v>46661</v>
      </c>
    </row>
    <row r="51" spans="1:12" x14ac:dyDescent="0.3">
      <c r="A51" t="s">
        <v>55</v>
      </c>
      <c r="B51" s="4">
        <v>17</v>
      </c>
      <c r="C51" s="3"/>
      <c r="D51" s="3">
        <f>IFERROR(VLOOKUP(A51,'[1]Annual Leave'!$B$2:$F$129,5,FALSE),0)</f>
        <v>4.1428571428571415</v>
      </c>
      <c r="E51" s="3">
        <v>30</v>
      </c>
      <c r="F51" s="3">
        <f t="shared" si="0"/>
        <v>11.5</v>
      </c>
      <c r="G51" s="4">
        <v>18.5</v>
      </c>
      <c r="H51" s="5">
        <v>3</v>
      </c>
      <c r="I51" s="3">
        <f t="shared" si="1"/>
        <v>0</v>
      </c>
      <c r="J51" s="4">
        <v>3</v>
      </c>
      <c r="K51" s="1">
        <v>45597</v>
      </c>
      <c r="L51" s="1">
        <v>46661</v>
      </c>
    </row>
    <row r="52" spans="1:12" x14ac:dyDescent="0.3">
      <c r="A52" t="s">
        <v>56</v>
      </c>
      <c r="B52" s="4">
        <v>17</v>
      </c>
      <c r="C52" s="3"/>
      <c r="D52" s="3">
        <f>IFERROR(VLOOKUP(A52,'[1]Annual Leave'!$B$2:$F$129,5,FALSE),0)</f>
        <v>4.5833333333333321</v>
      </c>
      <c r="E52" s="3">
        <v>30</v>
      </c>
      <c r="F52" s="3">
        <f t="shared" si="0"/>
        <v>8</v>
      </c>
      <c r="G52" s="4">
        <v>22</v>
      </c>
      <c r="H52" s="5">
        <v>3</v>
      </c>
      <c r="I52" s="3">
        <f t="shared" si="1"/>
        <v>0</v>
      </c>
      <c r="J52" s="4">
        <v>3</v>
      </c>
      <c r="K52" s="1">
        <v>45597</v>
      </c>
      <c r="L52" s="1">
        <v>46661</v>
      </c>
    </row>
    <row r="53" spans="1:12" x14ac:dyDescent="0.3">
      <c r="A53" t="s">
        <v>57</v>
      </c>
      <c r="B53" s="4">
        <v>16</v>
      </c>
      <c r="C53" s="3"/>
      <c r="D53" s="3">
        <f>IFERROR(VLOOKUP(A53,'[1]Annual Leave'!$B$2:$F$129,5,FALSE),0)</f>
        <v>3.2976190476190474</v>
      </c>
      <c r="E53" s="3">
        <v>30</v>
      </c>
      <c r="F53" s="3">
        <f t="shared" si="0"/>
        <v>0</v>
      </c>
      <c r="G53" s="4">
        <v>30</v>
      </c>
      <c r="H53" s="5">
        <v>3</v>
      </c>
      <c r="I53" s="3">
        <f t="shared" si="1"/>
        <v>0</v>
      </c>
      <c r="J53" s="4">
        <v>3</v>
      </c>
      <c r="K53" s="1">
        <v>45870</v>
      </c>
      <c r="L53" s="1">
        <v>46935</v>
      </c>
    </row>
    <row r="54" spans="1:12" x14ac:dyDescent="0.3">
      <c r="A54" t="s">
        <v>58</v>
      </c>
      <c r="B54" s="4">
        <v>16</v>
      </c>
      <c r="C54" s="3"/>
      <c r="D54" s="3">
        <f>IFERROR(VLOOKUP(A54,'[1]Annual Leave'!$B$2:$F$129,5,FALSE),0)</f>
        <v>3.4318181818181817</v>
      </c>
      <c r="E54" s="3">
        <v>30</v>
      </c>
      <c r="F54" s="3">
        <f t="shared" si="0"/>
        <v>4</v>
      </c>
      <c r="G54" s="4">
        <v>26</v>
      </c>
      <c r="H54" s="5">
        <v>3</v>
      </c>
      <c r="I54" s="3">
        <f t="shared" si="1"/>
        <v>0</v>
      </c>
      <c r="J54" s="4">
        <v>3</v>
      </c>
      <c r="K54" s="1">
        <v>45901</v>
      </c>
      <c r="L54" s="1">
        <v>46966</v>
      </c>
    </row>
    <row r="55" spans="1:12" x14ac:dyDescent="0.3">
      <c r="A55" t="s">
        <v>59</v>
      </c>
      <c r="B55" s="4">
        <v>16</v>
      </c>
      <c r="C55" s="3"/>
      <c r="D55" s="3">
        <f>IFERROR(VLOOKUP(A55,'[1]Annual Leave'!$B$2:$F$129,5,FALSE),0)</f>
        <v>1.4239130434782608</v>
      </c>
      <c r="E55" s="3">
        <v>30</v>
      </c>
      <c r="F55" s="3">
        <f t="shared" si="0"/>
        <v>27</v>
      </c>
      <c r="G55" s="4">
        <v>3</v>
      </c>
      <c r="H55" s="5">
        <v>3</v>
      </c>
      <c r="I55" s="3">
        <f t="shared" si="1"/>
        <v>0.75</v>
      </c>
      <c r="J55" s="4">
        <v>2.25</v>
      </c>
      <c r="K55" s="1">
        <v>45931</v>
      </c>
      <c r="L55" s="1">
        <v>46997</v>
      </c>
    </row>
    <row r="56" spans="1:12" x14ac:dyDescent="0.3">
      <c r="A56" t="s">
        <v>60</v>
      </c>
      <c r="B56" s="4">
        <v>16</v>
      </c>
      <c r="C56" s="3"/>
      <c r="D56" s="3">
        <f>IFERROR(VLOOKUP(A56,'[1]Annual Leave'!$B$2:$F$129,5,FALSE),0)</f>
        <v>-0.68478260869565233</v>
      </c>
      <c r="E56" s="3">
        <v>30</v>
      </c>
      <c r="F56" s="3">
        <f t="shared" si="0"/>
        <v>24</v>
      </c>
      <c r="G56" s="4">
        <v>6</v>
      </c>
      <c r="H56" s="5">
        <v>3</v>
      </c>
      <c r="I56" s="3">
        <f t="shared" si="1"/>
        <v>0</v>
      </c>
      <c r="J56" s="4">
        <v>3</v>
      </c>
      <c r="K56" s="1">
        <v>45931</v>
      </c>
      <c r="L56" s="1">
        <v>46997</v>
      </c>
    </row>
    <row r="57" spans="1:12" x14ac:dyDescent="0.3">
      <c r="A57" t="s">
        <v>61</v>
      </c>
      <c r="B57" s="4">
        <v>16</v>
      </c>
      <c r="C57" s="3"/>
      <c r="D57" s="3">
        <f>IFERROR(VLOOKUP(A57,'[1]Annual Leave'!$B$2:$F$129,5,FALSE),0)</f>
        <v>1.3152173913043477</v>
      </c>
      <c r="E57" s="3">
        <v>30</v>
      </c>
      <c r="F57" s="3">
        <f t="shared" si="0"/>
        <v>24</v>
      </c>
      <c r="G57" s="4">
        <v>6</v>
      </c>
      <c r="H57" s="5">
        <v>3</v>
      </c>
      <c r="I57" s="3">
        <f t="shared" si="1"/>
        <v>0</v>
      </c>
      <c r="J57" s="4">
        <v>3</v>
      </c>
      <c r="K57" s="1">
        <v>45931</v>
      </c>
      <c r="L57" s="1">
        <v>46997</v>
      </c>
    </row>
    <row r="58" spans="1:12" x14ac:dyDescent="0.3">
      <c r="A58" t="s">
        <v>62</v>
      </c>
      <c r="B58" s="4">
        <v>16</v>
      </c>
      <c r="C58" s="3"/>
      <c r="D58" s="3">
        <f>IFERROR(VLOOKUP(A58,'[1]Annual Leave'!$B$2:$F$129,5,FALSE),0)</f>
        <v>3.0434782608695654</v>
      </c>
      <c r="E58" s="3">
        <v>30</v>
      </c>
      <c r="F58" s="3">
        <f t="shared" si="0"/>
        <v>24</v>
      </c>
      <c r="G58" s="4">
        <v>6</v>
      </c>
      <c r="H58" s="5">
        <v>3</v>
      </c>
      <c r="I58" s="3">
        <f t="shared" si="1"/>
        <v>0</v>
      </c>
      <c r="J58" s="4">
        <v>3</v>
      </c>
      <c r="K58" s="1">
        <v>45931</v>
      </c>
      <c r="L58" s="1">
        <v>46997</v>
      </c>
    </row>
    <row r="59" spans="1:12" x14ac:dyDescent="0.3">
      <c r="A59" t="s">
        <v>63</v>
      </c>
      <c r="B59" s="4">
        <v>16</v>
      </c>
      <c r="C59" s="3"/>
      <c r="D59" s="3">
        <f>IFERROR(VLOOKUP(A59,'[1]Annual Leave'!$B$2:$F$129,5,FALSE),0)</f>
        <v>3.75</v>
      </c>
      <c r="E59" s="3">
        <v>30</v>
      </c>
      <c r="F59" s="3">
        <f t="shared" si="0"/>
        <v>24</v>
      </c>
      <c r="G59" s="4">
        <v>6</v>
      </c>
      <c r="H59" s="5">
        <v>3</v>
      </c>
      <c r="I59" s="3">
        <f t="shared" si="1"/>
        <v>0</v>
      </c>
      <c r="J59" s="4">
        <v>3</v>
      </c>
      <c r="K59" s="1">
        <v>45931</v>
      </c>
      <c r="L59" s="1">
        <v>46997</v>
      </c>
    </row>
    <row r="60" spans="1:12" x14ac:dyDescent="0.3">
      <c r="A60" t="s">
        <v>64</v>
      </c>
      <c r="B60" s="4">
        <v>16</v>
      </c>
      <c r="C60" s="3"/>
      <c r="D60" s="3">
        <f>IFERROR(VLOOKUP(A60,'[1]Annual Leave'!$B$2:$F$129,5,FALSE),0)</f>
        <v>3.5</v>
      </c>
      <c r="E60" s="3">
        <v>30</v>
      </c>
      <c r="F60" s="3">
        <f t="shared" si="0"/>
        <v>25</v>
      </c>
      <c r="G60" s="4">
        <v>5</v>
      </c>
      <c r="H60" s="5">
        <v>3</v>
      </c>
      <c r="I60" s="3">
        <f t="shared" si="1"/>
        <v>0</v>
      </c>
      <c r="J60" s="4">
        <v>3</v>
      </c>
      <c r="K60" s="1">
        <v>45931</v>
      </c>
      <c r="L60" s="1">
        <v>46997</v>
      </c>
    </row>
    <row r="61" spans="1:12" x14ac:dyDescent="0.3">
      <c r="A61" t="s">
        <v>65</v>
      </c>
      <c r="B61" s="4">
        <v>16</v>
      </c>
      <c r="C61" s="3"/>
      <c r="D61" s="3">
        <f>IFERROR(VLOOKUP(A61,'[1]Annual Leave'!$B$2:$F$129,5,FALSE),0)</f>
        <v>6.5</v>
      </c>
      <c r="E61" s="3">
        <v>30</v>
      </c>
      <c r="F61" s="3">
        <f t="shared" si="0"/>
        <v>25</v>
      </c>
      <c r="G61" s="4">
        <v>5</v>
      </c>
      <c r="H61" s="5">
        <v>3</v>
      </c>
      <c r="I61" s="3">
        <f t="shared" si="1"/>
        <v>0</v>
      </c>
      <c r="J61" s="4">
        <v>3</v>
      </c>
      <c r="K61" s="1">
        <v>45962</v>
      </c>
      <c r="L61" s="1">
        <v>47027</v>
      </c>
    </row>
    <row r="62" spans="1:12" x14ac:dyDescent="0.3">
      <c r="A62" t="s">
        <v>66</v>
      </c>
      <c r="B62" s="4">
        <v>16</v>
      </c>
      <c r="C62" s="3"/>
      <c r="D62" s="3">
        <f>IFERROR(VLOOKUP(A62,'[1]Annual Leave'!$B$2:$F$129,5,FALSE),0)</f>
        <v>2.0625</v>
      </c>
      <c r="E62" s="3">
        <v>30</v>
      </c>
      <c r="F62" s="3">
        <f t="shared" si="0"/>
        <v>30</v>
      </c>
      <c r="G62" s="4">
        <v>0</v>
      </c>
      <c r="H62" s="5">
        <v>3</v>
      </c>
      <c r="I62" s="3">
        <f t="shared" si="1"/>
        <v>0</v>
      </c>
      <c r="J62" s="4">
        <v>3</v>
      </c>
      <c r="K62" s="1">
        <v>45962</v>
      </c>
      <c r="L62" s="1">
        <v>47027</v>
      </c>
    </row>
    <row r="63" spans="1:12" x14ac:dyDescent="0.3">
      <c r="A63" t="s">
        <v>67</v>
      </c>
      <c r="B63" s="4">
        <v>16</v>
      </c>
      <c r="C63" s="3"/>
      <c r="D63" s="3">
        <f>IFERROR(VLOOKUP(A63,'[1]Annual Leave'!$B$2:$F$129,5,FALSE),0)</f>
        <v>2.0625</v>
      </c>
      <c r="E63" s="3">
        <v>30</v>
      </c>
      <c r="F63" s="3">
        <f t="shared" si="0"/>
        <v>26.5</v>
      </c>
      <c r="G63" s="4">
        <v>3.5</v>
      </c>
      <c r="H63" s="5">
        <v>3</v>
      </c>
      <c r="I63" s="3">
        <f t="shared" si="1"/>
        <v>0</v>
      </c>
      <c r="J63" s="4">
        <v>3</v>
      </c>
      <c r="K63" s="1">
        <v>45962</v>
      </c>
      <c r="L63" s="1">
        <v>47027</v>
      </c>
    </row>
    <row r="64" spans="1:12" x14ac:dyDescent="0.3">
      <c r="A64" t="s">
        <v>68</v>
      </c>
      <c r="B64" s="4">
        <v>16</v>
      </c>
      <c r="C64" s="3"/>
      <c r="D64" s="3">
        <f>IFERROR(VLOOKUP(A64,'[1]Annual Leave'!$B$2:$F$129,5,FALSE),0)</f>
        <v>0.5625</v>
      </c>
      <c r="E64" s="3">
        <v>30</v>
      </c>
      <c r="F64" s="3">
        <f t="shared" si="0"/>
        <v>25</v>
      </c>
      <c r="G64" s="4">
        <v>5</v>
      </c>
      <c r="H64" s="5">
        <v>3</v>
      </c>
      <c r="I64" s="3">
        <f t="shared" si="1"/>
        <v>0</v>
      </c>
      <c r="J64" s="4">
        <v>3</v>
      </c>
      <c r="K64" s="1">
        <v>45962</v>
      </c>
      <c r="L64" s="1">
        <v>47027</v>
      </c>
    </row>
    <row r="65" spans="1:12" x14ac:dyDescent="0.3">
      <c r="A65" t="s">
        <v>69</v>
      </c>
      <c r="B65" s="4">
        <v>16</v>
      </c>
      <c r="C65" s="3"/>
      <c r="D65" s="3">
        <f>IFERROR(VLOOKUP(A65,'[1]Annual Leave'!$B$2:$F$129,5,FALSE),0)</f>
        <v>1.375</v>
      </c>
      <c r="E65" s="3">
        <v>30</v>
      </c>
      <c r="F65" s="3">
        <f t="shared" si="0"/>
        <v>30</v>
      </c>
      <c r="G65" s="4">
        <v>0</v>
      </c>
      <c r="H65" s="5">
        <v>3</v>
      </c>
      <c r="I65" s="3">
        <f t="shared" si="1"/>
        <v>0</v>
      </c>
      <c r="J65" s="4">
        <v>3</v>
      </c>
      <c r="K65" s="1">
        <v>45962</v>
      </c>
      <c r="L65" s="1">
        <v>47027</v>
      </c>
    </row>
    <row r="66" spans="1:12" x14ac:dyDescent="0.3">
      <c r="A66" t="s">
        <v>70</v>
      </c>
      <c r="B66" s="4">
        <v>15</v>
      </c>
      <c r="C66" s="3"/>
      <c r="D66" s="3">
        <f>IFERROR(VLOOKUP(A66,'[1]Annual Leave'!$B$2:$F$129,5,FALSE),0)</f>
        <v>1.75</v>
      </c>
      <c r="E66" s="3">
        <v>30</v>
      </c>
      <c r="F66" s="3">
        <f t="shared" si="0"/>
        <v>28</v>
      </c>
      <c r="G66" s="4">
        <v>2</v>
      </c>
      <c r="H66" s="5">
        <v>3</v>
      </c>
      <c r="I66" s="3">
        <f t="shared" si="1"/>
        <v>3</v>
      </c>
      <c r="J66" s="4">
        <v>0</v>
      </c>
      <c r="K66" s="1">
        <v>45962</v>
      </c>
      <c r="L66" s="1">
        <v>47027</v>
      </c>
    </row>
    <row r="67" spans="1:12" x14ac:dyDescent="0.3">
      <c r="A67" t="s">
        <v>71</v>
      </c>
      <c r="B67" s="4">
        <v>15</v>
      </c>
      <c r="C67" s="3"/>
      <c r="D67" s="3">
        <f>IFERROR(VLOOKUP(A67,'[1]Annual Leave'!$B$2:$F$129,5,FALSE),0)</f>
        <v>2.5</v>
      </c>
      <c r="E67" s="3">
        <v>30</v>
      </c>
      <c r="F67" s="3">
        <f t="shared" ref="F67:F127" si="2">E67-G67</f>
        <v>29</v>
      </c>
      <c r="G67" s="4">
        <v>1</v>
      </c>
      <c r="H67" s="5">
        <v>3</v>
      </c>
      <c r="I67" s="3">
        <f t="shared" ref="I67:I127" si="3">H67-J67</f>
        <v>3</v>
      </c>
      <c r="J67" s="4">
        <v>0</v>
      </c>
      <c r="K67" s="1">
        <v>46054</v>
      </c>
      <c r="L67" s="1">
        <v>47119</v>
      </c>
    </row>
    <row r="68" spans="1:12" x14ac:dyDescent="0.3">
      <c r="A68" t="s">
        <v>72</v>
      </c>
      <c r="B68" s="4">
        <v>15</v>
      </c>
      <c r="C68" s="3"/>
      <c r="D68" s="3">
        <f>IFERROR(VLOOKUP(A68,'[1]Annual Leave'!$B$2:$F$129,5,FALSE),0)</f>
        <v>2.1022727272727275</v>
      </c>
      <c r="E68" s="3">
        <v>30</v>
      </c>
      <c r="F68" s="3">
        <f t="shared" si="2"/>
        <v>29</v>
      </c>
      <c r="G68" s="4">
        <v>1</v>
      </c>
      <c r="H68" s="5">
        <v>3</v>
      </c>
      <c r="I68" s="3">
        <f t="shared" si="3"/>
        <v>3</v>
      </c>
      <c r="J68" s="4">
        <v>0</v>
      </c>
      <c r="K68" s="1">
        <v>46082</v>
      </c>
      <c r="L68" s="1">
        <v>47150</v>
      </c>
    </row>
    <row r="69" spans="1:12" x14ac:dyDescent="0.3">
      <c r="A69" t="s">
        <v>73</v>
      </c>
      <c r="B69" s="4">
        <v>15</v>
      </c>
      <c r="C69" s="3"/>
      <c r="D69" s="3">
        <f>IFERROR(VLOOKUP(A69,'[1]Annual Leave'!$B$2:$F$129,5,FALSE),0)</f>
        <v>2.1022727272727275</v>
      </c>
      <c r="E69" s="3">
        <v>30</v>
      </c>
      <c r="F69" s="3">
        <f t="shared" si="2"/>
        <v>29</v>
      </c>
      <c r="G69" s="4">
        <v>1</v>
      </c>
      <c r="H69" s="5">
        <v>3</v>
      </c>
      <c r="I69" s="3">
        <f t="shared" si="3"/>
        <v>3</v>
      </c>
      <c r="J69" s="4">
        <v>0</v>
      </c>
      <c r="K69" s="1">
        <v>46082</v>
      </c>
      <c r="L69" s="1">
        <v>47150</v>
      </c>
    </row>
    <row r="70" spans="1:12" x14ac:dyDescent="0.3">
      <c r="A70" t="s">
        <v>74</v>
      </c>
      <c r="B70" s="4">
        <v>15</v>
      </c>
      <c r="C70" s="3"/>
      <c r="D70" s="3">
        <f>IFERROR(VLOOKUP(A70,'[1]Annual Leave'!$B$2:$F$129,5,FALSE),0)</f>
        <v>1.6477272727272727</v>
      </c>
      <c r="E70" s="3">
        <v>30</v>
      </c>
      <c r="F70" s="3">
        <f t="shared" si="2"/>
        <v>29</v>
      </c>
      <c r="G70" s="4">
        <v>1</v>
      </c>
      <c r="H70" s="5">
        <v>3</v>
      </c>
      <c r="I70" s="3">
        <f t="shared" si="3"/>
        <v>3</v>
      </c>
      <c r="J70" s="4">
        <v>0</v>
      </c>
      <c r="K70" s="1">
        <v>46082</v>
      </c>
      <c r="L70" s="1">
        <v>47150</v>
      </c>
    </row>
    <row r="71" spans="1:12" x14ac:dyDescent="0.3">
      <c r="A71" t="s">
        <v>136</v>
      </c>
      <c r="B71" s="4">
        <v>15</v>
      </c>
      <c r="C71" s="3"/>
      <c r="D71" s="3">
        <v>1.25</v>
      </c>
      <c r="E71" s="3">
        <v>30</v>
      </c>
      <c r="F71" s="3">
        <f t="shared" si="2"/>
        <v>30</v>
      </c>
      <c r="G71" s="4">
        <v>0</v>
      </c>
      <c r="H71" s="5">
        <v>3</v>
      </c>
      <c r="I71" s="3">
        <v>0</v>
      </c>
      <c r="J71" s="4">
        <v>0</v>
      </c>
      <c r="K71" s="1">
        <v>46113</v>
      </c>
      <c r="L71" s="1">
        <v>47178</v>
      </c>
    </row>
    <row r="72" spans="1:12" x14ac:dyDescent="0.3">
      <c r="A72" t="s">
        <v>75</v>
      </c>
      <c r="B72" s="4">
        <v>20</v>
      </c>
      <c r="C72" s="3"/>
      <c r="D72" s="3">
        <f>IFERROR(VLOOKUP(A72,'[1]Annual Leave'!$B$2:$F$129,5,FALSE),0)</f>
        <v>16.666666666666664</v>
      </c>
      <c r="E72" s="3">
        <v>30</v>
      </c>
      <c r="F72" s="3">
        <f t="shared" si="2"/>
        <v>0</v>
      </c>
      <c r="G72" s="4">
        <v>30</v>
      </c>
      <c r="H72" s="5">
        <v>3</v>
      </c>
      <c r="I72" s="3">
        <f t="shared" si="3"/>
        <v>0</v>
      </c>
      <c r="J72" s="4">
        <v>3</v>
      </c>
      <c r="K72" s="1">
        <v>46082</v>
      </c>
      <c r="L72" s="2">
        <v>47150</v>
      </c>
    </row>
    <row r="73" spans="1:12" x14ac:dyDescent="0.3">
      <c r="A73" t="s">
        <v>76</v>
      </c>
      <c r="B73" s="4">
        <v>20</v>
      </c>
      <c r="C73" s="3"/>
      <c r="D73" s="3">
        <f>IFERROR(VLOOKUP(A73,'[1]Annual Leave'!$B$2:$F$129,5,FALSE),0)</f>
        <v>17.667000000000002</v>
      </c>
      <c r="E73" s="3">
        <v>30</v>
      </c>
      <c r="F73" s="3">
        <f t="shared" si="2"/>
        <v>7</v>
      </c>
      <c r="G73" s="4">
        <v>23</v>
      </c>
      <c r="H73" s="5">
        <v>3</v>
      </c>
      <c r="I73" s="3">
        <f t="shared" si="3"/>
        <v>0</v>
      </c>
      <c r="J73" s="4">
        <v>3</v>
      </c>
      <c r="K73" s="1">
        <v>46023</v>
      </c>
      <c r="L73" s="1">
        <v>47088</v>
      </c>
    </row>
    <row r="74" spans="1:12" x14ac:dyDescent="0.3">
      <c r="A74" t="s">
        <v>77</v>
      </c>
      <c r="B74" s="4">
        <v>20</v>
      </c>
      <c r="C74" s="3"/>
      <c r="D74" s="3">
        <f>IFERROR(VLOOKUP(A74,'[1]Annual Leave'!$B$2:$F$129,5,FALSE),0)</f>
        <v>1.376166666666675</v>
      </c>
      <c r="E74" s="3">
        <v>30</v>
      </c>
      <c r="F74" s="3">
        <f t="shared" si="2"/>
        <v>0</v>
      </c>
      <c r="G74" s="4">
        <v>30</v>
      </c>
      <c r="H74" s="5">
        <v>3</v>
      </c>
      <c r="I74" s="3">
        <f t="shared" si="3"/>
        <v>0</v>
      </c>
      <c r="J74" s="4">
        <v>3</v>
      </c>
      <c r="K74" s="1">
        <v>45108</v>
      </c>
      <c r="L74" s="1">
        <v>46174</v>
      </c>
    </row>
    <row r="75" spans="1:12" x14ac:dyDescent="0.3">
      <c r="A75" t="s">
        <v>78</v>
      </c>
      <c r="B75" s="4">
        <v>20</v>
      </c>
      <c r="C75" s="3"/>
      <c r="D75" s="3">
        <f>IFERROR(VLOOKUP(A75,'[1]Annual Leave'!$B$2:$F$129,5,FALSE),0)</f>
        <v>3.6669333333333283</v>
      </c>
      <c r="E75" s="3">
        <v>30</v>
      </c>
      <c r="F75" s="3">
        <f t="shared" si="2"/>
        <v>5</v>
      </c>
      <c r="G75" s="4">
        <v>25</v>
      </c>
      <c r="H75" s="5">
        <v>3</v>
      </c>
      <c r="I75" s="3">
        <f t="shared" si="3"/>
        <v>1</v>
      </c>
      <c r="J75" s="4">
        <v>2</v>
      </c>
      <c r="K75" s="1">
        <v>45962</v>
      </c>
      <c r="L75" s="1">
        <v>47027</v>
      </c>
    </row>
    <row r="76" spans="1:12" x14ac:dyDescent="0.3">
      <c r="A76" t="s">
        <v>79</v>
      </c>
      <c r="B76" s="4">
        <v>20</v>
      </c>
      <c r="C76" s="3"/>
      <c r="D76" s="3">
        <f>IFERROR(VLOOKUP(A76,'[1]Annual Leave'!$B$2:$F$129,5,FALSE),0)</f>
        <v>5.0006666666666675</v>
      </c>
      <c r="E76" s="3">
        <v>30</v>
      </c>
      <c r="F76" s="3">
        <f t="shared" si="2"/>
        <v>21.5</v>
      </c>
      <c r="G76" s="4">
        <v>8.5</v>
      </c>
      <c r="H76" s="5">
        <v>3</v>
      </c>
      <c r="I76" s="3">
        <f t="shared" si="3"/>
        <v>3</v>
      </c>
      <c r="J76" s="4">
        <v>0</v>
      </c>
      <c r="K76" s="1">
        <v>45658</v>
      </c>
      <c r="L76" s="1">
        <v>46722</v>
      </c>
    </row>
    <row r="77" spans="1:12" x14ac:dyDescent="0.3">
      <c r="A77" t="s">
        <v>80</v>
      </c>
      <c r="B77" s="4">
        <v>20</v>
      </c>
      <c r="C77" s="3"/>
      <c r="D77" s="3">
        <f>IFERROR(VLOOKUP(A77,'[1]Annual Leave'!$B$2:$F$129,5,FALSE),0)</f>
        <v>4.1663333333333359</v>
      </c>
      <c r="E77" s="3">
        <v>30</v>
      </c>
      <c r="F77" s="3">
        <f t="shared" si="2"/>
        <v>1.5</v>
      </c>
      <c r="G77" s="4">
        <v>28.5</v>
      </c>
      <c r="H77" s="5">
        <v>3</v>
      </c>
      <c r="I77" s="3">
        <f t="shared" si="3"/>
        <v>0</v>
      </c>
      <c r="J77" s="4">
        <v>3</v>
      </c>
      <c r="K77" s="1">
        <v>45536</v>
      </c>
      <c r="L77" s="1">
        <v>46600</v>
      </c>
    </row>
    <row r="78" spans="1:12" x14ac:dyDescent="0.3">
      <c r="A78" t="s">
        <v>81</v>
      </c>
      <c r="B78" s="4">
        <v>15</v>
      </c>
      <c r="C78" s="3"/>
      <c r="D78" s="3">
        <f>IFERROR(VLOOKUP(A78,'[1]Annual Leave'!$B$2:$F$129,5,FALSE),0)</f>
        <v>8.5</v>
      </c>
      <c r="E78" s="3">
        <v>30</v>
      </c>
      <c r="F78" s="3">
        <f t="shared" si="2"/>
        <v>5</v>
      </c>
      <c r="G78" s="4">
        <v>25</v>
      </c>
      <c r="H78" s="5">
        <v>3</v>
      </c>
      <c r="I78" s="3">
        <f t="shared" si="3"/>
        <v>0</v>
      </c>
      <c r="J78" s="4">
        <v>3</v>
      </c>
      <c r="K78" s="1">
        <v>46023</v>
      </c>
      <c r="L78" s="1">
        <v>47088</v>
      </c>
    </row>
    <row r="79" spans="1:12" x14ac:dyDescent="0.3">
      <c r="A79" t="s">
        <v>82</v>
      </c>
      <c r="B79" s="4">
        <v>19</v>
      </c>
      <c r="C79" s="3"/>
      <c r="D79" s="3">
        <f>IFERROR(VLOOKUP(A79,'[1]Annual Leave'!$B$2:$F$129,5,FALSE),0)</f>
        <v>1.7502173913043499</v>
      </c>
      <c r="E79" s="3">
        <v>30</v>
      </c>
      <c r="F79" s="3">
        <f t="shared" si="2"/>
        <v>1</v>
      </c>
      <c r="G79" s="4">
        <v>29</v>
      </c>
      <c r="H79" s="5">
        <v>3</v>
      </c>
      <c r="I79" s="3">
        <f t="shared" si="3"/>
        <v>0</v>
      </c>
      <c r="J79" s="4">
        <v>3</v>
      </c>
      <c r="K79" s="1">
        <v>45748</v>
      </c>
      <c r="L79" s="1">
        <v>46813</v>
      </c>
    </row>
    <row r="80" spans="1:12" x14ac:dyDescent="0.3">
      <c r="A80" t="s">
        <v>83</v>
      </c>
      <c r="B80" s="4">
        <v>18</v>
      </c>
      <c r="C80" s="3"/>
      <c r="D80" s="3">
        <f>IFERROR(VLOOKUP(A80,'[1]Annual Leave'!$B$2:$F$129,5,FALSE),0)</f>
        <v>4.5000000000000009</v>
      </c>
      <c r="E80" s="3">
        <v>30</v>
      </c>
      <c r="F80" s="3">
        <f t="shared" si="2"/>
        <v>1</v>
      </c>
      <c r="G80" s="4">
        <v>29</v>
      </c>
      <c r="H80" s="5">
        <v>3</v>
      </c>
      <c r="I80" s="3">
        <f t="shared" si="3"/>
        <v>0</v>
      </c>
      <c r="J80" s="4">
        <v>3</v>
      </c>
      <c r="K80" s="1">
        <v>45870</v>
      </c>
      <c r="L80" s="1">
        <v>46935</v>
      </c>
    </row>
    <row r="81" spans="1:12" x14ac:dyDescent="0.3">
      <c r="A81" t="s">
        <v>84</v>
      </c>
      <c r="B81" s="4">
        <v>18</v>
      </c>
      <c r="C81" s="3"/>
      <c r="D81" s="3">
        <f>IFERROR(VLOOKUP(A81,'[1]Annual Leave'!$B$2:$F$129,5,FALSE),0)</f>
        <v>-0.49999999999999911</v>
      </c>
      <c r="E81" s="3">
        <v>30</v>
      </c>
      <c r="F81" s="3">
        <f t="shared" si="2"/>
        <v>5</v>
      </c>
      <c r="G81" s="4">
        <v>25</v>
      </c>
      <c r="H81" s="5">
        <v>3</v>
      </c>
      <c r="I81" s="3">
        <f t="shared" si="3"/>
        <v>0</v>
      </c>
      <c r="J81" s="4">
        <v>3</v>
      </c>
      <c r="K81" s="1">
        <v>46023</v>
      </c>
      <c r="L81" s="1">
        <v>47088</v>
      </c>
    </row>
    <row r="82" spans="1:12" x14ac:dyDescent="0.3">
      <c r="A82" t="s">
        <v>85</v>
      </c>
      <c r="B82" s="4">
        <v>18</v>
      </c>
      <c r="C82" s="3"/>
      <c r="D82" s="3">
        <f>IFERROR(VLOOKUP(A82,'[1]Annual Leave'!$B$2:$F$129,5,FALSE),0)</f>
        <v>5.4696969696969688</v>
      </c>
      <c r="E82" s="3">
        <v>30</v>
      </c>
      <c r="F82" s="3">
        <f t="shared" si="2"/>
        <v>13</v>
      </c>
      <c r="G82" s="4">
        <v>17</v>
      </c>
      <c r="H82" s="5">
        <v>3</v>
      </c>
      <c r="I82" s="3">
        <f t="shared" si="3"/>
        <v>0</v>
      </c>
      <c r="J82" s="4">
        <v>3</v>
      </c>
      <c r="K82" s="2">
        <v>46113</v>
      </c>
      <c r="L82" s="1">
        <v>47178</v>
      </c>
    </row>
    <row r="83" spans="1:12" x14ac:dyDescent="0.3">
      <c r="A83" t="s">
        <v>86</v>
      </c>
      <c r="B83" s="4">
        <v>17</v>
      </c>
      <c r="C83" s="3"/>
      <c r="D83" s="3">
        <f>IFERROR(VLOOKUP(A83,'[1]Annual Leave'!$B$2:$F$129,5,FALSE),0)</f>
        <v>1.8949275362318829</v>
      </c>
      <c r="E83" s="3">
        <v>30</v>
      </c>
      <c r="F83" s="3">
        <f t="shared" si="2"/>
        <v>15</v>
      </c>
      <c r="G83" s="4">
        <v>15</v>
      </c>
      <c r="H83" s="5">
        <v>3</v>
      </c>
      <c r="I83" s="3">
        <f t="shared" si="3"/>
        <v>0</v>
      </c>
      <c r="J83" s="4">
        <v>3</v>
      </c>
      <c r="K83" s="1">
        <v>45292</v>
      </c>
      <c r="L83" s="1">
        <v>46357</v>
      </c>
    </row>
    <row r="84" spans="1:12" x14ac:dyDescent="0.3">
      <c r="A84" t="s">
        <v>87</v>
      </c>
      <c r="B84" s="4">
        <v>17</v>
      </c>
      <c r="C84" s="3"/>
      <c r="D84" s="3">
        <f>IFERROR(VLOOKUP(A84,'[1]Annual Leave'!$B$2:$F$129,5,FALSE),0)</f>
        <v>2.2282608695652142</v>
      </c>
      <c r="E84" s="3">
        <v>30</v>
      </c>
      <c r="F84" s="3">
        <f t="shared" si="2"/>
        <v>23</v>
      </c>
      <c r="G84" s="4">
        <v>7</v>
      </c>
      <c r="H84" s="5">
        <v>3</v>
      </c>
      <c r="I84" s="3">
        <f t="shared" si="3"/>
        <v>0</v>
      </c>
      <c r="J84" s="4">
        <v>3</v>
      </c>
      <c r="K84" s="1">
        <v>45413</v>
      </c>
      <c r="L84" s="1">
        <v>46478</v>
      </c>
    </row>
    <row r="85" spans="1:12" x14ac:dyDescent="0.3">
      <c r="A85" t="s">
        <v>88</v>
      </c>
      <c r="B85" s="4">
        <v>17</v>
      </c>
      <c r="C85" s="3"/>
      <c r="D85" s="3">
        <f>IFERROR(VLOOKUP(A85,'[1]Annual Leave'!$B$2:$F$129,5,FALSE),0)</f>
        <v>-2.4424906541753444E-15</v>
      </c>
      <c r="E85" s="3">
        <v>30</v>
      </c>
      <c r="F85" s="3">
        <f t="shared" si="2"/>
        <v>0</v>
      </c>
      <c r="G85" s="4">
        <v>30</v>
      </c>
      <c r="H85" s="5">
        <v>3</v>
      </c>
      <c r="I85" s="3">
        <f t="shared" si="3"/>
        <v>3</v>
      </c>
      <c r="J85" s="4">
        <v>0</v>
      </c>
      <c r="K85" s="1">
        <v>45505</v>
      </c>
      <c r="L85" s="1">
        <v>46569</v>
      </c>
    </row>
    <row r="86" spans="1:12" x14ac:dyDescent="0.3">
      <c r="A86" t="s">
        <v>89</v>
      </c>
      <c r="B86" s="4">
        <v>17</v>
      </c>
      <c r="C86" s="3"/>
      <c r="D86" s="3">
        <f>IFERROR(VLOOKUP(A86,'[1]Annual Leave'!$B$2:$F$129,5,FALSE),0)</f>
        <v>0.16666666666666652</v>
      </c>
      <c r="E86" s="3">
        <v>30</v>
      </c>
      <c r="F86" s="3">
        <f t="shared" si="2"/>
        <v>6</v>
      </c>
      <c r="G86" s="4">
        <v>24</v>
      </c>
      <c r="H86" s="5">
        <v>3</v>
      </c>
      <c r="I86" s="3">
        <f t="shared" si="3"/>
        <v>0</v>
      </c>
      <c r="J86" s="4">
        <v>3</v>
      </c>
      <c r="K86" s="1">
        <v>45536</v>
      </c>
      <c r="L86" s="1">
        <v>46600</v>
      </c>
    </row>
    <row r="87" spans="1:12" x14ac:dyDescent="0.3">
      <c r="A87" t="s">
        <v>90</v>
      </c>
      <c r="B87" s="4">
        <v>17</v>
      </c>
      <c r="C87" s="3"/>
      <c r="D87" s="3">
        <f>IFERROR(VLOOKUP(A87,'[1]Annual Leave'!$B$2:$F$129,5,FALSE),0)</f>
        <v>4.9999999999999991</v>
      </c>
      <c r="E87" s="3">
        <v>30</v>
      </c>
      <c r="F87" s="3">
        <f t="shared" si="2"/>
        <v>4</v>
      </c>
      <c r="G87" s="4">
        <v>26</v>
      </c>
      <c r="H87" s="5">
        <v>3</v>
      </c>
      <c r="I87" s="3">
        <f t="shared" si="3"/>
        <v>0</v>
      </c>
      <c r="J87" s="4">
        <v>3</v>
      </c>
      <c r="K87" s="1">
        <v>45597</v>
      </c>
      <c r="L87" s="1">
        <v>46661</v>
      </c>
    </row>
    <row r="88" spans="1:12" x14ac:dyDescent="0.3">
      <c r="A88" t="s">
        <v>91</v>
      </c>
      <c r="B88" s="4">
        <v>16</v>
      </c>
      <c r="C88" s="3"/>
      <c r="D88" s="3">
        <f>IFERROR(VLOOKUP(A88,'[1]Annual Leave'!$B$2:$F$129,5,FALSE),0)</f>
        <v>0.7898550724637674</v>
      </c>
      <c r="E88" s="3">
        <v>30</v>
      </c>
      <c r="F88" s="3">
        <f t="shared" si="2"/>
        <v>4.5</v>
      </c>
      <c r="G88" s="4">
        <v>25.5</v>
      </c>
      <c r="H88" s="5">
        <v>3</v>
      </c>
      <c r="I88" s="3">
        <f t="shared" si="3"/>
        <v>0</v>
      </c>
      <c r="J88" s="4">
        <v>3</v>
      </c>
      <c r="K88" s="1">
        <v>45658</v>
      </c>
      <c r="L88" s="1">
        <v>46722</v>
      </c>
    </row>
    <row r="89" spans="1:12" x14ac:dyDescent="0.3">
      <c r="A89" t="s">
        <v>92</v>
      </c>
      <c r="B89" s="4">
        <v>16</v>
      </c>
      <c r="C89" s="3"/>
      <c r="D89" s="3">
        <f>IFERROR(VLOOKUP(A89,'[1]Annual Leave'!$B$2:$F$129,5,FALSE),0)</f>
        <v>-0.50000000000000022</v>
      </c>
      <c r="E89" s="3">
        <v>30</v>
      </c>
      <c r="F89" s="3">
        <f t="shared" si="2"/>
        <v>2</v>
      </c>
      <c r="G89" s="4">
        <v>28</v>
      </c>
      <c r="H89" s="5">
        <v>3</v>
      </c>
      <c r="I89" s="3">
        <f t="shared" si="3"/>
        <v>0</v>
      </c>
      <c r="J89" s="4">
        <v>3</v>
      </c>
      <c r="K89" s="1">
        <v>45689</v>
      </c>
      <c r="L89" s="1">
        <v>46753</v>
      </c>
    </row>
    <row r="90" spans="1:12" x14ac:dyDescent="0.3">
      <c r="A90" t="s">
        <v>93</v>
      </c>
      <c r="B90" s="4">
        <v>16</v>
      </c>
      <c r="C90" s="3"/>
      <c r="D90" s="3">
        <f>IFERROR(VLOOKUP(A90,'[1]Annual Leave'!$B$2:$F$129,5,FALSE),0)</f>
        <v>2.6666666666666661</v>
      </c>
      <c r="E90" s="3">
        <v>30</v>
      </c>
      <c r="F90" s="3">
        <f t="shared" si="2"/>
        <v>6</v>
      </c>
      <c r="G90" s="4">
        <v>24</v>
      </c>
      <c r="H90" s="5">
        <v>3</v>
      </c>
      <c r="I90" s="3">
        <f t="shared" si="3"/>
        <v>0</v>
      </c>
      <c r="J90" s="4">
        <v>3</v>
      </c>
      <c r="K90" s="1">
        <v>45717</v>
      </c>
      <c r="L90" s="1">
        <v>46784</v>
      </c>
    </row>
    <row r="91" spans="1:12" x14ac:dyDescent="0.3">
      <c r="A91" t="s">
        <v>94</v>
      </c>
      <c r="B91" s="4">
        <v>16</v>
      </c>
      <c r="C91" s="3"/>
      <c r="D91" s="3">
        <f>IFERROR(VLOOKUP(A91,'[1]Annual Leave'!$B$2:$F$129,5,FALSE),0)</f>
        <v>1.1060606060606066</v>
      </c>
      <c r="E91" s="3">
        <v>30</v>
      </c>
      <c r="F91" s="3">
        <f t="shared" si="2"/>
        <v>9</v>
      </c>
      <c r="G91" s="4">
        <v>21</v>
      </c>
      <c r="H91" s="5">
        <v>3</v>
      </c>
      <c r="I91" s="3">
        <f t="shared" si="3"/>
        <v>0</v>
      </c>
      <c r="J91" s="4">
        <v>3</v>
      </c>
      <c r="K91" s="1">
        <v>45748</v>
      </c>
      <c r="L91" s="1">
        <v>46813</v>
      </c>
    </row>
    <row r="92" spans="1:12" x14ac:dyDescent="0.3">
      <c r="A92" t="s">
        <v>95</v>
      </c>
      <c r="B92" s="4">
        <v>16</v>
      </c>
      <c r="C92" s="3"/>
      <c r="D92" s="3">
        <f>IFERROR(VLOOKUP(A92,'[1]Annual Leave'!$B$2:$F$129,5,FALSE),0)</f>
        <v>3.75</v>
      </c>
      <c r="E92" s="3">
        <v>30</v>
      </c>
      <c r="F92" s="3">
        <f t="shared" si="2"/>
        <v>1</v>
      </c>
      <c r="G92" s="4">
        <v>29</v>
      </c>
      <c r="H92" s="5">
        <v>3</v>
      </c>
      <c r="I92" s="3">
        <f t="shared" si="3"/>
        <v>0</v>
      </c>
      <c r="J92" s="4">
        <v>3</v>
      </c>
      <c r="K92" s="1">
        <v>45809</v>
      </c>
      <c r="L92" s="1">
        <v>46874</v>
      </c>
    </row>
    <row r="93" spans="1:12" x14ac:dyDescent="0.3">
      <c r="A93" t="s">
        <v>96</v>
      </c>
      <c r="B93" s="4">
        <v>16</v>
      </c>
      <c r="C93" s="3"/>
      <c r="D93" s="3">
        <f>IFERROR(VLOOKUP(A93,'[1]Annual Leave'!$B$2:$F$129,5,FALSE),0)</f>
        <v>1.1875</v>
      </c>
      <c r="E93" s="3">
        <v>30</v>
      </c>
      <c r="F93" s="3">
        <f t="shared" si="2"/>
        <v>29</v>
      </c>
      <c r="G93" s="4">
        <v>1</v>
      </c>
      <c r="H93" s="5">
        <v>3</v>
      </c>
      <c r="I93" s="3">
        <f t="shared" si="3"/>
        <v>0</v>
      </c>
      <c r="J93" s="4">
        <v>3</v>
      </c>
      <c r="K93" s="1">
        <v>45962</v>
      </c>
      <c r="L93" s="1">
        <v>47027</v>
      </c>
    </row>
    <row r="94" spans="1:12" x14ac:dyDescent="0.3">
      <c r="A94" t="s">
        <v>97</v>
      </c>
      <c r="B94" s="4">
        <v>15</v>
      </c>
      <c r="C94" s="3"/>
      <c r="D94" s="3">
        <f>IFERROR(VLOOKUP(A94,'[1]Annual Leave'!$B$2:$F$129,5,FALSE),0)</f>
        <v>0.10227272727272729</v>
      </c>
      <c r="E94" s="3">
        <v>30</v>
      </c>
      <c r="F94" s="3">
        <f t="shared" si="2"/>
        <v>28</v>
      </c>
      <c r="G94" s="4">
        <v>2</v>
      </c>
      <c r="H94" s="5">
        <v>3</v>
      </c>
      <c r="I94" s="3">
        <f t="shared" si="3"/>
        <v>3</v>
      </c>
      <c r="J94" s="4">
        <v>0</v>
      </c>
      <c r="K94" s="1">
        <v>46023</v>
      </c>
      <c r="L94" s="1">
        <v>47088</v>
      </c>
    </row>
    <row r="95" spans="1:12" x14ac:dyDescent="0.3">
      <c r="A95" t="s">
        <v>98</v>
      </c>
      <c r="B95" s="4">
        <v>15</v>
      </c>
      <c r="C95" s="3"/>
      <c r="D95" s="3">
        <f>IFERROR(VLOOKUP(A95,'[1]Annual Leave'!$B$2:$F$129,5,FALSE),0)</f>
        <v>1.9375</v>
      </c>
      <c r="E95" s="3">
        <v>30</v>
      </c>
      <c r="F95" s="3">
        <f t="shared" si="2"/>
        <v>28</v>
      </c>
      <c r="G95" s="4">
        <v>2</v>
      </c>
      <c r="H95" s="5">
        <v>3</v>
      </c>
      <c r="I95" s="3">
        <f t="shared" si="3"/>
        <v>3</v>
      </c>
      <c r="J95" s="4">
        <v>0</v>
      </c>
      <c r="K95" s="1">
        <v>46054</v>
      </c>
      <c r="L95" s="1">
        <v>47119</v>
      </c>
    </row>
    <row r="96" spans="1:12" x14ac:dyDescent="0.3">
      <c r="A96" t="s">
        <v>99</v>
      </c>
      <c r="B96" s="4">
        <v>15</v>
      </c>
      <c r="C96" s="3"/>
      <c r="D96" s="3">
        <f>IFERROR(VLOOKUP(A96,'[1]Annual Leave'!$B$2:$F$129,5,FALSE),0)</f>
        <v>3.75</v>
      </c>
      <c r="E96" s="3">
        <v>30</v>
      </c>
      <c r="F96" s="3">
        <f t="shared" si="2"/>
        <v>28</v>
      </c>
      <c r="G96" s="4">
        <v>2</v>
      </c>
      <c r="H96" s="5">
        <v>3</v>
      </c>
      <c r="I96" s="3">
        <f t="shared" si="3"/>
        <v>3</v>
      </c>
      <c r="J96" s="4">
        <v>0</v>
      </c>
      <c r="K96" s="1">
        <v>46054</v>
      </c>
      <c r="L96" s="1">
        <v>47119</v>
      </c>
    </row>
    <row r="97" spans="1:12" x14ac:dyDescent="0.3">
      <c r="A97" t="s">
        <v>100</v>
      </c>
      <c r="B97" s="4">
        <v>15</v>
      </c>
      <c r="C97" s="3"/>
      <c r="D97" s="3">
        <f>IFERROR(VLOOKUP(A97,'[1]Annual Leave'!$B$2:$F$129,5,FALSE),0)</f>
        <v>2.8333333333333335</v>
      </c>
      <c r="E97" s="3">
        <v>30</v>
      </c>
      <c r="F97" s="3">
        <f t="shared" si="2"/>
        <v>29</v>
      </c>
      <c r="G97" s="4">
        <v>1</v>
      </c>
      <c r="H97" s="5">
        <v>3</v>
      </c>
      <c r="I97" s="3">
        <f t="shared" si="3"/>
        <v>3</v>
      </c>
      <c r="J97" s="4">
        <v>0</v>
      </c>
      <c r="K97" s="1">
        <v>46082</v>
      </c>
      <c r="L97" s="1">
        <v>47150</v>
      </c>
    </row>
    <row r="98" spans="1:12" x14ac:dyDescent="0.3">
      <c r="A98" t="s">
        <v>129</v>
      </c>
      <c r="B98" s="4">
        <v>18</v>
      </c>
      <c r="C98" s="3"/>
      <c r="D98" s="3">
        <f>IFERROR(VLOOKUP(A98,'[1]Annual Leave'!$B$2:$F$129,5,FALSE),0)</f>
        <v>2.1136363636363633</v>
      </c>
      <c r="E98" s="3">
        <v>30</v>
      </c>
      <c r="F98" s="3">
        <f t="shared" si="2"/>
        <v>29</v>
      </c>
      <c r="G98" s="4">
        <v>1</v>
      </c>
      <c r="H98" s="5">
        <v>3</v>
      </c>
      <c r="I98" s="3">
        <f t="shared" si="3"/>
        <v>3</v>
      </c>
      <c r="J98" s="4">
        <v>0</v>
      </c>
      <c r="K98" s="1">
        <v>46082</v>
      </c>
      <c r="L98" s="1">
        <v>47150</v>
      </c>
    </row>
    <row r="99" spans="1:12" x14ac:dyDescent="0.3">
      <c r="A99" s="6" t="s">
        <v>137</v>
      </c>
      <c r="B99" s="4">
        <v>15</v>
      </c>
      <c r="C99" s="3"/>
      <c r="D99" s="3">
        <v>1.25</v>
      </c>
      <c r="E99" s="3">
        <v>30</v>
      </c>
      <c r="F99" s="3">
        <f t="shared" si="2"/>
        <v>29</v>
      </c>
      <c r="G99" s="4">
        <v>1</v>
      </c>
      <c r="H99" s="5">
        <v>3</v>
      </c>
      <c r="I99" s="3">
        <v>3</v>
      </c>
      <c r="J99" s="4">
        <v>0</v>
      </c>
      <c r="K99" s="1">
        <v>46113</v>
      </c>
      <c r="L99" s="1">
        <v>47178</v>
      </c>
    </row>
    <row r="100" spans="1:12" x14ac:dyDescent="0.3">
      <c r="A100" t="s">
        <v>101</v>
      </c>
      <c r="B100" s="4">
        <v>20</v>
      </c>
      <c r="C100" s="3"/>
      <c r="D100" s="3">
        <f>IFERROR(VLOOKUP(A100,'[1]Annual Leave'!$B$2:$F$129,5,FALSE),0)</f>
        <v>3.9166666666666616</v>
      </c>
      <c r="E100" s="3">
        <v>30</v>
      </c>
      <c r="F100" s="3">
        <f t="shared" si="2"/>
        <v>3.5</v>
      </c>
      <c r="G100" s="4">
        <v>26.5</v>
      </c>
      <c r="H100" s="5">
        <v>3</v>
      </c>
      <c r="I100" s="3">
        <f t="shared" si="3"/>
        <v>2</v>
      </c>
      <c r="J100" s="4">
        <v>1</v>
      </c>
      <c r="K100" s="1">
        <v>45108</v>
      </c>
      <c r="L100" s="1">
        <v>46174</v>
      </c>
    </row>
    <row r="101" spans="1:12" x14ac:dyDescent="0.3">
      <c r="A101" t="s">
        <v>102</v>
      </c>
      <c r="B101" s="4">
        <v>15</v>
      </c>
      <c r="C101" s="3"/>
      <c r="D101" s="3">
        <f>IFERROR(VLOOKUP(A101,'[1]Annual Leave'!$B$2:$F$129,5,FALSE),0)</f>
        <v>7</v>
      </c>
      <c r="H101" s="5">
        <v>3</v>
      </c>
      <c r="I101" s="3">
        <f t="shared" si="3"/>
        <v>-2</v>
      </c>
      <c r="J101" s="4">
        <v>5</v>
      </c>
      <c r="K101" s="1">
        <v>45597</v>
      </c>
      <c r="L101" s="1">
        <v>46661</v>
      </c>
    </row>
    <row r="102" spans="1:12" x14ac:dyDescent="0.3">
      <c r="A102" t="s">
        <v>103</v>
      </c>
      <c r="B102" s="4">
        <v>15</v>
      </c>
      <c r="C102" s="3"/>
      <c r="D102" s="3">
        <f>IFERROR(VLOOKUP(A102,'[1]Annual Leave'!$B$2:$F$129,5,FALSE),0)</f>
        <v>2.000454545454545</v>
      </c>
      <c r="H102" s="5">
        <v>3</v>
      </c>
      <c r="I102" s="3">
        <f t="shared" si="3"/>
        <v>-2</v>
      </c>
      <c r="J102" s="4">
        <v>5</v>
      </c>
      <c r="K102" s="1">
        <v>45809</v>
      </c>
      <c r="L102" s="1">
        <v>46874</v>
      </c>
    </row>
    <row r="103" spans="1:12" x14ac:dyDescent="0.3">
      <c r="A103" t="s">
        <v>104</v>
      </c>
      <c r="B103" s="4">
        <v>15</v>
      </c>
      <c r="C103" s="3"/>
      <c r="D103" s="3">
        <f>IFERROR(VLOOKUP(A103,'[1]Annual Leave'!$B$2:$F$129,5,FALSE),0)</f>
        <v>2.0000909090909094</v>
      </c>
      <c r="H103" s="5">
        <v>3</v>
      </c>
      <c r="I103" s="3">
        <f t="shared" si="3"/>
        <v>-2</v>
      </c>
      <c r="J103" s="4">
        <v>5</v>
      </c>
      <c r="K103" s="1">
        <v>45078</v>
      </c>
      <c r="L103" s="1">
        <v>46143</v>
      </c>
    </row>
    <row r="104" spans="1:12" x14ac:dyDescent="0.3">
      <c r="A104" t="s">
        <v>105</v>
      </c>
      <c r="B104" s="4">
        <v>15</v>
      </c>
      <c r="C104" s="3"/>
      <c r="D104" s="3">
        <f>IFERROR(VLOOKUP(A104,'[1]Annual Leave'!$B$2:$F$129,5,FALSE),0)</f>
        <v>7.999761904761904</v>
      </c>
      <c r="H104" s="5">
        <v>3</v>
      </c>
      <c r="I104" s="3">
        <f t="shared" si="3"/>
        <v>-2</v>
      </c>
      <c r="J104" s="4">
        <v>5</v>
      </c>
      <c r="K104" s="1">
        <v>45108</v>
      </c>
      <c r="L104" s="1">
        <v>46174</v>
      </c>
    </row>
    <row r="105" spans="1:12" x14ac:dyDescent="0.3">
      <c r="A105" t="s">
        <v>106</v>
      </c>
      <c r="B105" s="4">
        <v>15</v>
      </c>
      <c r="C105" s="3"/>
      <c r="D105" s="3">
        <f>IFERROR(VLOOKUP(A105,'[1]Annual Leave'!$B$2:$F$129,5,FALSE),0)</f>
        <v>11.5</v>
      </c>
      <c r="E105" s="3">
        <v>30</v>
      </c>
      <c r="F105" s="3">
        <f t="shared" si="2"/>
        <v>5</v>
      </c>
      <c r="G105" s="4">
        <v>25</v>
      </c>
      <c r="H105" s="5">
        <v>3</v>
      </c>
      <c r="I105" s="3">
        <f t="shared" si="3"/>
        <v>0</v>
      </c>
      <c r="J105" s="4">
        <v>3</v>
      </c>
      <c r="K105" s="1">
        <v>45170</v>
      </c>
      <c r="L105" s="1">
        <v>46235</v>
      </c>
    </row>
    <row r="106" spans="1:12" x14ac:dyDescent="0.3">
      <c r="A106" t="s">
        <v>107</v>
      </c>
      <c r="B106" s="4">
        <v>15</v>
      </c>
      <c r="C106" s="3"/>
      <c r="D106" s="3">
        <f>IFERROR(VLOOKUP(A106,'[1]Annual Leave'!$B$2:$F$129,5,FALSE),0)</f>
        <v>-1.0227272727272734</v>
      </c>
      <c r="H106" s="5">
        <v>3</v>
      </c>
      <c r="I106" s="3">
        <f t="shared" si="3"/>
        <v>-2</v>
      </c>
      <c r="J106" s="4">
        <v>5</v>
      </c>
      <c r="K106" s="1">
        <v>45231</v>
      </c>
      <c r="L106" s="1">
        <v>46296</v>
      </c>
    </row>
    <row r="107" spans="1:12" x14ac:dyDescent="0.3">
      <c r="A107" t="s">
        <v>108</v>
      </c>
      <c r="B107" s="4">
        <v>17</v>
      </c>
      <c r="C107" s="3"/>
      <c r="D107" s="3">
        <f>IFERROR(VLOOKUP(A107,'[1]Annual Leave'!$B$2:$F$129,5,FALSE),0)</f>
        <v>23.333333333333332</v>
      </c>
      <c r="E107" s="3">
        <v>30</v>
      </c>
      <c r="F107" s="3">
        <f t="shared" si="2"/>
        <v>5</v>
      </c>
      <c r="G107" s="4">
        <v>25</v>
      </c>
      <c r="H107" s="5">
        <v>3</v>
      </c>
      <c r="I107" s="3">
        <f t="shared" si="3"/>
        <v>0</v>
      </c>
      <c r="J107" s="4">
        <v>3</v>
      </c>
      <c r="K107" s="1">
        <v>45383</v>
      </c>
      <c r="L107" s="1">
        <v>46447</v>
      </c>
    </row>
    <row r="108" spans="1:12" x14ac:dyDescent="0.3">
      <c r="A108" t="s">
        <v>109</v>
      </c>
      <c r="B108" s="4">
        <v>15</v>
      </c>
      <c r="C108" s="3"/>
      <c r="D108" s="3">
        <f>IFERROR(VLOOKUP(A108,'[1]Annual Leave'!$B$2:$F$129,5,FALSE),0)</f>
        <v>0.38636363636363669</v>
      </c>
      <c r="H108" s="5">
        <v>3</v>
      </c>
      <c r="I108" s="3">
        <f t="shared" si="3"/>
        <v>-2</v>
      </c>
      <c r="J108" s="4">
        <v>5</v>
      </c>
      <c r="K108" s="1">
        <v>45505</v>
      </c>
      <c r="L108" s="1">
        <v>46569</v>
      </c>
    </row>
    <row r="109" spans="1:12" x14ac:dyDescent="0.3">
      <c r="A109" t="s">
        <v>110</v>
      </c>
      <c r="B109" s="4">
        <v>15</v>
      </c>
      <c r="C109" s="3"/>
      <c r="D109" s="3">
        <f>IFERROR(VLOOKUP(A109,'[1]Annual Leave'!$B$2:$F$129,5,FALSE),0)</f>
        <v>-2.1086956521739131</v>
      </c>
      <c r="H109" s="5">
        <v>3</v>
      </c>
      <c r="I109" s="3">
        <f t="shared" si="3"/>
        <v>-2</v>
      </c>
      <c r="J109" s="4">
        <v>5</v>
      </c>
      <c r="K109" s="1">
        <v>45566</v>
      </c>
      <c r="L109" s="1">
        <v>46600</v>
      </c>
    </row>
    <row r="110" spans="1:12" x14ac:dyDescent="0.3">
      <c r="A110" t="s">
        <v>111</v>
      </c>
      <c r="B110" s="4">
        <v>15</v>
      </c>
      <c r="C110" s="3"/>
      <c r="D110" s="3">
        <f>IFERROR(VLOOKUP(A110,'[1]Annual Leave'!$B$2:$F$129,5,FALSE),0)</f>
        <v>4.6195652173913047</v>
      </c>
      <c r="E110" s="3">
        <v>30</v>
      </c>
      <c r="F110" s="3">
        <f t="shared" si="2"/>
        <v>0</v>
      </c>
      <c r="G110" s="4">
        <v>30</v>
      </c>
      <c r="H110" s="5">
        <v>3</v>
      </c>
      <c r="I110" s="3">
        <f t="shared" si="3"/>
        <v>0</v>
      </c>
      <c r="J110" s="4">
        <v>3</v>
      </c>
      <c r="K110" s="1">
        <v>45658</v>
      </c>
      <c r="L110" s="1">
        <v>46722</v>
      </c>
    </row>
    <row r="111" spans="1:12" x14ac:dyDescent="0.3">
      <c r="A111" t="s">
        <v>112</v>
      </c>
      <c r="B111" s="4">
        <v>15</v>
      </c>
      <c r="C111" s="3"/>
      <c r="D111" s="3">
        <f>IFERROR(VLOOKUP(A111,'[1]Annual Leave'!$B$2:$F$129,5,FALSE),0)</f>
        <v>0</v>
      </c>
      <c r="H111" s="5">
        <v>3</v>
      </c>
      <c r="I111" s="3">
        <f t="shared" si="3"/>
        <v>-2</v>
      </c>
      <c r="J111" s="4">
        <v>5</v>
      </c>
      <c r="K111" s="1">
        <v>45658</v>
      </c>
      <c r="L111" s="1">
        <v>46722</v>
      </c>
    </row>
    <row r="112" spans="1:12" x14ac:dyDescent="0.3">
      <c r="A112" t="s">
        <v>113</v>
      </c>
      <c r="B112" s="4">
        <v>15</v>
      </c>
      <c r="C112" s="3"/>
      <c r="D112" s="3">
        <f>IFERROR(VLOOKUP(A112,'[1]Annual Leave'!$B$2:$F$129,5,FALSE),0)</f>
        <v>0</v>
      </c>
      <c r="H112" s="5">
        <v>3</v>
      </c>
      <c r="I112" s="3">
        <f t="shared" si="3"/>
        <v>-2</v>
      </c>
      <c r="J112" s="4">
        <v>5</v>
      </c>
      <c r="K112" s="1">
        <v>45870</v>
      </c>
      <c r="L112" s="1">
        <v>46935</v>
      </c>
    </row>
    <row r="113" spans="1:12" x14ac:dyDescent="0.3">
      <c r="A113" t="s">
        <v>114</v>
      </c>
      <c r="B113" s="4">
        <v>15</v>
      </c>
      <c r="C113" s="3"/>
      <c r="D113" s="3">
        <f>IFERROR(VLOOKUP(A113,'[1]Annual Leave'!$B$2:$F$129,5,FALSE),0)</f>
        <v>0</v>
      </c>
      <c r="H113" s="5">
        <v>3</v>
      </c>
      <c r="I113" s="3">
        <f t="shared" si="3"/>
        <v>-2</v>
      </c>
      <c r="J113" s="4">
        <v>5</v>
      </c>
      <c r="K113" s="1">
        <v>45901</v>
      </c>
      <c r="L113" s="1">
        <v>46966</v>
      </c>
    </row>
    <row r="114" spans="1:12" x14ac:dyDescent="0.3">
      <c r="A114" t="s">
        <v>115</v>
      </c>
      <c r="B114" s="4">
        <v>19</v>
      </c>
      <c r="C114" s="3"/>
      <c r="D114" s="3">
        <f>IFERROR(VLOOKUP(A114,'[1]Annual Leave'!$B$2:$F$129,5,FALSE),0)</f>
        <v>2.5834285714285734</v>
      </c>
      <c r="E114" s="3">
        <v>30</v>
      </c>
      <c r="F114" s="3">
        <f t="shared" si="2"/>
        <v>0</v>
      </c>
      <c r="G114" s="4">
        <v>30</v>
      </c>
      <c r="H114" s="5">
        <v>3</v>
      </c>
      <c r="I114" s="3">
        <f t="shared" si="3"/>
        <v>0</v>
      </c>
      <c r="J114" s="4">
        <v>3</v>
      </c>
      <c r="K114" s="1">
        <v>45658</v>
      </c>
      <c r="L114" s="1">
        <v>46722</v>
      </c>
    </row>
    <row r="115" spans="1:12" x14ac:dyDescent="0.3">
      <c r="A115" t="s">
        <v>116</v>
      </c>
      <c r="B115" s="4">
        <v>19</v>
      </c>
      <c r="C115" s="3"/>
      <c r="D115" s="3">
        <f>IFERROR(VLOOKUP(A115,'[1]Annual Leave'!$B$2:$F$129,5,FALSE),0)</f>
        <v>2.333000000000002</v>
      </c>
      <c r="E115" s="3">
        <v>30</v>
      </c>
      <c r="F115" s="3">
        <f t="shared" si="2"/>
        <v>0</v>
      </c>
      <c r="G115" s="4">
        <v>30</v>
      </c>
      <c r="H115" s="5">
        <v>3</v>
      </c>
      <c r="I115" s="3">
        <f t="shared" si="3"/>
        <v>0</v>
      </c>
      <c r="J115" s="4">
        <v>3</v>
      </c>
      <c r="K115" s="1">
        <v>45839</v>
      </c>
      <c r="L115" s="1">
        <v>46905</v>
      </c>
    </row>
    <row r="116" spans="1:12" x14ac:dyDescent="0.3">
      <c r="A116" t="s">
        <v>117</v>
      </c>
      <c r="B116" s="4">
        <v>18</v>
      </c>
      <c r="C116" s="3"/>
      <c r="D116" s="3">
        <f>IFERROR(VLOOKUP(A116,'[1]Annual Leave'!$B$2:$F$129,5,FALSE),0)</f>
        <v>9.0828695652173899</v>
      </c>
      <c r="E116" s="3">
        <v>30</v>
      </c>
      <c r="F116" s="3">
        <f t="shared" si="2"/>
        <v>0</v>
      </c>
      <c r="G116" s="4">
        <v>30</v>
      </c>
      <c r="H116" s="5">
        <v>3</v>
      </c>
      <c r="I116" s="3">
        <f t="shared" si="3"/>
        <v>0</v>
      </c>
      <c r="J116" s="4">
        <v>3</v>
      </c>
      <c r="K116" s="1">
        <v>45139</v>
      </c>
      <c r="L116" s="1">
        <v>46204</v>
      </c>
    </row>
    <row r="117" spans="1:12" x14ac:dyDescent="0.3">
      <c r="A117" t="s">
        <v>118</v>
      </c>
      <c r="B117" s="4">
        <v>15</v>
      </c>
      <c r="C117" s="3"/>
      <c r="D117" s="3">
        <f>IFERROR(VLOOKUP(A117,'[1]Annual Leave'!$B$2:$F$129,5,FALSE),0)</f>
        <v>3.4130434782608692</v>
      </c>
      <c r="E117" s="3">
        <v>30</v>
      </c>
      <c r="F117" s="3">
        <f t="shared" si="2"/>
        <v>0</v>
      </c>
      <c r="G117" s="4">
        <v>30</v>
      </c>
      <c r="H117" s="5">
        <v>3</v>
      </c>
      <c r="I117" s="3">
        <f t="shared" si="3"/>
        <v>0</v>
      </c>
      <c r="J117" s="4">
        <v>3</v>
      </c>
      <c r="K117" s="1">
        <v>45474</v>
      </c>
      <c r="L117" s="1">
        <v>46539</v>
      </c>
    </row>
    <row r="118" spans="1:12" x14ac:dyDescent="0.3">
      <c r="A118" t="s">
        <v>119</v>
      </c>
      <c r="B118" s="4">
        <v>15</v>
      </c>
      <c r="C118" s="3"/>
      <c r="D118" s="3">
        <f>IFERROR(VLOOKUP(A118,'[1]Annual Leave'!$B$2:$F$129,5,FALSE),0)</f>
        <v>5.25</v>
      </c>
      <c r="E118" s="3">
        <v>30</v>
      </c>
      <c r="F118" s="3">
        <f t="shared" si="2"/>
        <v>0</v>
      </c>
      <c r="G118" s="4">
        <v>30</v>
      </c>
      <c r="H118" s="5">
        <v>3</v>
      </c>
      <c r="I118" s="3">
        <f t="shared" si="3"/>
        <v>0</v>
      </c>
      <c r="J118" s="4">
        <v>3</v>
      </c>
      <c r="K118" s="1">
        <v>45505</v>
      </c>
      <c r="L118" s="1">
        <v>46569</v>
      </c>
    </row>
    <row r="119" spans="1:12" x14ac:dyDescent="0.3">
      <c r="A119" t="s">
        <v>120</v>
      </c>
      <c r="B119" s="4">
        <v>17</v>
      </c>
      <c r="C119" s="3"/>
      <c r="D119" s="3">
        <f>IFERROR(VLOOKUP(A119,'[1]Annual Leave'!$B$2:$F$129,5,FALSE),0)</f>
        <v>4.3333333333333321</v>
      </c>
      <c r="E119" s="3">
        <v>30</v>
      </c>
      <c r="F119" s="3">
        <f t="shared" si="2"/>
        <v>1</v>
      </c>
      <c r="G119" s="4">
        <v>29</v>
      </c>
      <c r="H119" s="5">
        <v>3</v>
      </c>
      <c r="I119" s="3">
        <f t="shared" si="3"/>
        <v>0</v>
      </c>
      <c r="J119" s="4">
        <v>3</v>
      </c>
      <c r="K119" s="1">
        <v>45566</v>
      </c>
      <c r="L119" s="1">
        <v>46600</v>
      </c>
    </row>
    <row r="120" spans="1:12" x14ac:dyDescent="0.3">
      <c r="A120" t="s">
        <v>121</v>
      </c>
      <c r="B120" s="4">
        <v>15</v>
      </c>
      <c r="C120" s="3"/>
      <c r="D120" s="3">
        <f>IFERROR(VLOOKUP(A120,'[1]Annual Leave'!$B$2:$F$129,5,FALSE),0)</f>
        <v>5.8095238095238102</v>
      </c>
      <c r="E120" s="3">
        <v>30</v>
      </c>
      <c r="F120" s="3">
        <f t="shared" si="2"/>
        <v>0</v>
      </c>
      <c r="G120" s="4">
        <v>30</v>
      </c>
      <c r="H120" s="5">
        <v>3</v>
      </c>
      <c r="I120" s="3">
        <f t="shared" si="3"/>
        <v>0</v>
      </c>
      <c r="J120" s="4">
        <v>3</v>
      </c>
      <c r="K120" s="1">
        <v>45536</v>
      </c>
      <c r="L120" s="1">
        <v>46600</v>
      </c>
    </row>
    <row r="121" spans="1:12" x14ac:dyDescent="0.3">
      <c r="A121" t="s">
        <v>122</v>
      </c>
      <c r="B121" s="4">
        <v>15</v>
      </c>
      <c r="C121" s="3"/>
      <c r="D121" s="3">
        <f>IFERROR(VLOOKUP(A121,'[1]Annual Leave'!$B$2:$F$129,5,FALSE),0)</f>
        <v>-1.75</v>
      </c>
      <c r="E121" s="3">
        <v>30</v>
      </c>
      <c r="F121" s="3">
        <f t="shared" si="2"/>
        <v>7</v>
      </c>
      <c r="G121" s="4">
        <v>23</v>
      </c>
      <c r="H121" s="5">
        <v>3</v>
      </c>
      <c r="I121" s="3">
        <f t="shared" si="3"/>
        <v>0</v>
      </c>
      <c r="J121" s="4">
        <v>3</v>
      </c>
      <c r="K121" s="1">
        <v>45627</v>
      </c>
      <c r="L121" s="1">
        <v>46692</v>
      </c>
    </row>
    <row r="122" spans="1:12" x14ac:dyDescent="0.3">
      <c r="A122" t="s">
        <v>123</v>
      </c>
      <c r="B122" s="4">
        <v>15</v>
      </c>
      <c r="C122" s="3"/>
      <c r="D122" s="3">
        <f>IFERROR(VLOOKUP(A122,'[1]Annual Leave'!$B$2:$F$129,5,FALSE),0)</f>
        <v>1.5</v>
      </c>
      <c r="E122" s="3">
        <v>30</v>
      </c>
      <c r="F122" s="3">
        <f t="shared" si="2"/>
        <v>25</v>
      </c>
      <c r="G122" s="4">
        <v>5</v>
      </c>
      <c r="H122" s="5">
        <v>3</v>
      </c>
      <c r="I122" s="3">
        <f t="shared" si="3"/>
        <v>0</v>
      </c>
      <c r="J122" s="4">
        <v>3</v>
      </c>
      <c r="K122" s="1">
        <v>45962</v>
      </c>
      <c r="L122" s="1">
        <v>47027</v>
      </c>
    </row>
    <row r="123" spans="1:12" x14ac:dyDescent="0.3">
      <c r="A123" t="s">
        <v>124</v>
      </c>
      <c r="B123" s="4">
        <v>15</v>
      </c>
      <c r="C123" s="3"/>
      <c r="D123" s="3">
        <f>IFERROR(VLOOKUP(A123,'[1]Annual Leave'!$B$2:$F$129,5,FALSE),0)</f>
        <v>3.6363636363636362</v>
      </c>
      <c r="E123" s="3">
        <v>30</v>
      </c>
      <c r="F123" s="3">
        <f t="shared" si="2"/>
        <v>27</v>
      </c>
      <c r="G123" s="4">
        <v>3</v>
      </c>
      <c r="H123" s="5">
        <v>3</v>
      </c>
      <c r="I123" s="3">
        <f t="shared" si="3"/>
        <v>3</v>
      </c>
      <c r="J123" s="4">
        <v>0</v>
      </c>
      <c r="K123" s="1">
        <v>46023</v>
      </c>
      <c r="L123" s="1">
        <v>47088</v>
      </c>
    </row>
    <row r="124" spans="1:12" x14ac:dyDescent="0.3">
      <c r="A124" t="s">
        <v>125</v>
      </c>
      <c r="B124" s="4">
        <v>15</v>
      </c>
      <c r="C124" s="3"/>
      <c r="D124" s="3">
        <f>IFERROR(VLOOKUP(A124,'[1]Annual Leave'!$B$2:$F$129,5,FALSE),0)</f>
        <v>4.829545454545455</v>
      </c>
      <c r="E124" s="3">
        <v>30</v>
      </c>
      <c r="F124" s="3">
        <f t="shared" si="2"/>
        <v>27</v>
      </c>
      <c r="G124" s="4">
        <v>3</v>
      </c>
      <c r="H124" s="5">
        <v>3</v>
      </c>
      <c r="I124" s="3">
        <f t="shared" si="3"/>
        <v>3</v>
      </c>
      <c r="J124" s="4">
        <v>0</v>
      </c>
      <c r="K124" s="1">
        <v>46023</v>
      </c>
      <c r="L124" s="1">
        <v>47088</v>
      </c>
    </row>
    <row r="125" spans="1:12" x14ac:dyDescent="0.3">
      <c r="A125" t="s">
        <v>126</v>
      </c>
      <c r="B125" s="4">
        <v>15</v>
      </c>
      <c r="C125" s="3"/>
      <c r="D125" s="3">
        <f>IFERROR(VLOOKUP(A125,'[1]Annual Leave'!$B$2:$F$129,5,FALSE),0)</f>
        <v>4.7159090909090908</v>
      </c>
      <c r="E125" s="3">
        <v>30</v>
      </c>
      <c r="F125" s="3">
        <f t="shared" si="2"/>
        <v>28</v>
      </c>
      <c r="G125" s="4">
        <v>2</v>
      </c>
      <c r="H125" s="5">
        <v>3</v>
      </c>
      <c r="I125" s="3">
        <f t="shared" si="3"/>
        <v>3</v>
      </c>
      <c r="J125" s="4">
        <v>0</v>
      </c>
      <c r="K125" s="1">
        <v>46023</v>
      </c>
      <c r="L125" s="1">
        <v>47088</v>
      </c>
    </row>
    <row r="126" spans="1:12" x14ac:dyDescent="0.3">
      <c r="A126" t="s">
        <v>127</v>
      </c>
      <c r="B126" s="4">
        <v>17</v>
      </c>
      <c r="C126" s="3"/>
      <c r="D126" s="3">
        <f>IFERROR(VLOOKUP(A126,'[1]Annual Leave'!$B$2:$F$129,5,FALSE),0)</f>
        <v>1.4791666666666654</v>
      </c>
      <c r="E126" s="3">
        <v>30</v>
      </c>
      <c r="F126" s="3">
        <f t="shared" si="2"/>
        <v>30</v>
      </c>
      <c r="G126" s="4">
        <v>0</v>
      </c>
      <c r="H126" s="5">
        <v>3</v>
      </c>
      <c r="I126" s="3">
        <f t="shared" si="3"/>
        <v>0</v>
      </c>
      <c r="J126" s="4">
        <v>3</v>
      </c>
      <c r="K126" s="1">
        <v>45444</v>
      </c>
      <c r="L126" s="1">
        <v>46508</v>
      </c>
    </row>
    <row r="127" spans="1:12" x14ac:dyDescent="0.3">
      <c r="A127" t="s">
        <v>128</v>
      </c>
      <c r="B127" s="4">
        <v>17</v>
      </c>
      <c r="C127" s="3"/>
      <c r="D127" s="3">
        <f>IFERROR(VLOOKUP(A127,'[1]Annual Leave'!$B$2:$F$129,5,FALSE),0)</f>
        <v>6.5829999999999993</v>
      </c>
      <c r="E127" s="3">
        <v>30</v>
      </c>
      <c r="F127" s="3">
        <f t="shared" si="2"/>
        <v>5</v>
      </c>
      <c r="G127" s="4">
        <v>25</v>
      </c>
      <c r="H127" s="5">
        <v>3</v>
      </c>
      <c r="I127" s="3">
        <f t="shared" si="3"/>
        <v>0</v>
      </c>
      <c r="J127" s="4">
        <v>3</v>
      </c>
      <c r="K127" s="1">
        <v>45323</v>
      </c>
      <c r="L127" s="1">
        <v>46419</v>
      </c>
    </row>
  </sheetData>
  <autoFilter ref="A1:L127" xr:uid="{59BB4F20-B0CA-4244-9995-DDA4EA06974A}"/>
  <conditionalFormatting sqref="A99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Natasha  van Jaarsveld</dc:creator>
  <cp:lastModifiedBy>Natasha  van Jaarsveld</cp:lastModifiedBy>
  <dcterms:created xsi:type="dcterms:W3CDTF">2026-03-18T06:54:10Z</dcterms:created>
  <dcterms:modified xsi:type="dcterms:W3CDTF">2026-05-19T07:21:43Z</dcterms:modified>
</cp:coreProperties>
</file>